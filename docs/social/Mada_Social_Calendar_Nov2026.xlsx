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alendar" sheetId="2" state="visible" r:id="rId4"/>
    <sheet name="Month view" sheetId="3" state="visible" r:id="rId5"/>
    <sheet name="Platform playbook" sheetId="4" state="visible" r:id="rId6"/>
    <sheet name="Pillars &amp; series" sheetId="5" state="visible" r:id="rId7"/>
    <sheet name="Guidelines" sheetId="6" state="visible" r:id="rId8"/>
    <sheet name="Keywords" sheetId="7" state="visible" r:id="rId9"/>
    <sheet name="Competitors" sheetId="8" state="visible" r:id="rId10"/>
    <sheet name="Moments" sheetId="9" state="visible" r:id="rId11"/>
    <sheet name="KPIs &amp; tracking" sheetId="10" state="visible" r:id="rId12"/>
    <sheet name="Workflow &amp; sensitivity" sheetId="11" state="visible" r:id="rId13"/>
    <sheet name="Sources" sheetId="12" state="visible" r:id="rId14"/>
  </sheets>
  <definedNames>
    <definedName function="false" hidden="true" localSheetId="1" name="_xlnm._FilterDatabase" vbProcedure="false">Calendar!$A$1:$AC$112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<sst xmlns="http://schemas.openxmlformats.org/spreadsheetml/2006/main" count="2594" uniqueCount="1783">
  <si>
    <t xml:space="preserve">Mada Trips · Social Media Plan · November 2026</t>
  </si>
  <si>
    <t xml:space="preserve">Instagram · TikTok · X · LinkedIn. Researched 18 Oct 2026. Times are Riyadh (AST, UTC+3).</t>
  </si>
  <si>
    <t xml:space="preserve">Situation</t>
  </si>
  <si>
    <t xml:space="preserve">Mada is a new account on every platform. Month one sets up the profiles, the recurring series that make us recognisable, and the habit of posting daily.</t>
  </si>
  <si>
    <t xml:space="preserve">Riyadh's airport (RUH) was hit by Houthi missiles and drones several times in early-mid October 2026 and reopened on 18 Oct. Several foreign airlines are still suspended into November (Lufthansa to 18 Nov, KLM to 31 Oct, BA limited from 3 Nov). The plan leads with domestic and short-haul trips, Riyadh Season, practical help and calm reassurance. There are no airport jokes and no 'fly now' hype. See the sensitivity protocol.</t>
  </si>
  <si>
    <t xml:space="preserve">Several big December events were cancelled or moved this season (Red Sea Film Festival postponed to 2027, MDLBEAST Soundstorm 2026 cancelled, Formula E moved from Diriyah to Jeddah, Six Kings Slam moved to 27-30 Dec). Re-check every event date the week it is posted.</t>
  </si>
  <si>
    <t xml:space="preserve">The calendar's biggest commercial moments are the school autumn break (20-28 Nov), White Friday (27 Nov), and Rajab (from ~10 Dec), which opens Umrah planning for Ramadan 1448 (~8 Feb 2027).</t>
  </si>
  <si>
    <t xml:space="preserve">Objectives</t>
  </si>
  <si>
    <t xml:space="preserve">Be found: Rank in TikTok and Instagram search for high-intent Arabic travel and visa terms (تأشيرة شنغن, إجازة الخريف, العلا, باقات عمرة).</t>
  </si>
  <si>
    <t xml:space="preserve">Be remembered: Make 4-5 named series that people recognise and follow: One Call, Visa in 60, Weekend Radar, Concierge Confessions, Behind the Curtain.</t>
  </si>
  <si>
    <t xml:space="preserve">Be trusted: Show the people behind the service. No Saudi OTA puts a real advisor on camera, and that is our white space.</t>
  </si>
  <si>
    <t xml:space="preserve">Convert: Move intent to WhatsApp: every post has one CTA, and every DM gets an answer within the hour during working hours.</t>
  </si>
  <si>
    <t xml:space="preserve">How to use this file</t>
  </si>
  <si>
    <t xml:space="preserve">Calendar: every post with its hook, poster text (EN/AR), caption (AR/EN), keywords, hashtags, CTA and production direction. Filter by platform, week or pillar.</t>
  </si>
  <si>
    <t xml:space="preserve">Fill in Owner and Status for each post. The Status dropdown runs Idea → Scripted → Shot → Designed → Approved → Scheduled → Posted (or Paused).</t>
  </si>
  <si>
    <t xml:space="preserve">After posting, fill the yellow results columns (Reach … Saves). The engagement rate calculates itself, and 'KPIs &amp; tracking' rolls it up by platform.</t>
  </si>
  <si>
    <t xml:space="preserve">Rows flagged in the Notes column (OFFER, APPROVAL, SENSITIVITY) can't be scheduled without that sign-off.</t>
  </si>
  <si>
    <t xml:space="preserve">Month view: the whole month at a glance. Guidelines, Keywords, Competitors and Moments hold the research behind every post.</t>
  </si>
  <si>
    <t xml:space="preserve">Posts this month</t>
  </si>
  <si>
    <t xml:space="preserve">Platform</t>
  </si>
  <si>
    <t xml:space="preserve">Posts (counted from Calendar)</t>
  </si>
  <si>
    <t xml:space="preserve">Instagram</t>
  </si>
  <si>
    <t xml:space="preserve">TikTok</t>
  </si>
  <si>
    <t xml:space="preserve">X</t>
  </si>
  <si>
    <t xml:space="preserve">LinkedIn</t>
  </si>
  <si>
    <t xml:space="preserve">Total</t>
  </si>
  <si>
    <t xml:space="preserve">#</t>
  </si>
  <si>
    <t xml:space="preserve">Date</t>
  </si>
  <si>
    <t xml:space="preserve">Day</t>
  </si>
  <si>
    <t xml:space="preserve">Time (AST)</t>
  </si>
  <si>
    <t xml:space="preserve">Format</t>
  </si>
  <si>
    <t xml:space="preserve">Pillar</t>
  </si>
  <si>
    <t xml:space="preserve">Series</t>
  </si>
  <si>
    <t xml:space="preserve">Moment / trend</t>
  </si>
  <si>
    <t xml:space="preserve">Working title</t>
  </si>
  <si>
    <t xml:space="preserve">Hook (first 1-3s / first line)</t>
  </si>
  <si>
    <t xml:space="preserve">On-poster / on-screen text (EN)</t>
  </si>
  <si>
    <t xml:space="preserve">On-poster / on-screen text (AR)</t>
  </si>
  <si>
    <t xml:space="preserve">Caption / copy (AR)</t>
  </si>
  <si>
    <t xml:space="preserve">Caption / copy (EN)</t>
  </si>
  <si>
    <t xml:space="preserve">Search keywords</t>
  </si>
  <si>
    <t xml:space="preserve">Hashtags (max 5)</t>
  </si>
  <si>
    <t xml:space="preserve">CTA</t>
  </si>
  <si>
    <t xml:space="preserve">Visual / audio / production direction</t>
  </si>
  <si>
    <t xml:space="preserve">Notes · approvals · risks</t>
  </si>
  <si>
    <t xml:space="preserve">Owner</t>
  </si>
  <si>
    <t xml:space="preserve">Status</t>
  </si>
  <si>
    <t xml:space="preserve">Reach</t>
  </si>
  <si>
    <t xml:space="preserve">Views</t>
  </si>
  <si>
    <t xml:space="preserve">Likes</t>
  </si>
  <si>
    <t xml:space="preserve">Comments</t>
  </si>
  <si>
    <t xml:space="preserve">Shares</t>
  </si>
  <si>
    <t xml:space="preserve">Saves</t>
  </si>
  <si>
    <t xml:space="preserve">Eng. rate</t>
  </si>
  <si>
    <t xml:space="preserve">Sun</t>
  </si>
  <si>
    <t xml:space="preserve">20:30</t>
  </si>
  <si>
    <t xml:space="preserve">Reel 30s</t>
  </si>
  <si>
    <t xml:space="preserve">Moments &amp; Offers</t>
  </si>
  <si>
    <t xml:space="preserve">Brand launch</t>
  </si>
  <si>
    <t xml:space="preserve">Launch film: Every horizon, within reach</t>
  </si>
  <si>
    <t xml:space="preserve">Black screen, one word in gold: مدى / Reach</t>
  </si>
  <si>
    <t xml:space="preserve">Every horizon, within reach.</t>
  </si>
  <si>
    <t xml:space="preserve">كل أفق، في متناولك.</t>
  </si>
  <si>
    <t xml:space="preserve">مادا يعني المدى.
ومن اليوم، رحلتك وفعاليتك وفريقك… كلها بمكالمة وحدة.
تذاكر، فنادق، تأشيرات، فعاليات، كوادر وتقنية — من الرياض لكل أفق.
تابعنا، القادم أجمل 🌙</t>
  </si>
  <si>
    <t xml:space="preserve">Mada is Arabic for reach.
Flights, stays, visas, events, crews and tech. From Riyadh to every horizon.
One call. Everything moves.</t>
  </si>
  <si>
    <t xml:space="preserve">وكالة سفر الرياض, Riyadh travel agency, مادا للسفر</t>
  </si>
  <si>
    <t xml:space="preserve">#مادا #MadaTrips #الرياض #سفر #RiyadhTravel</t>
  </si>
  <si>
    <t xml:space="preserve">Follow + tap the WhatsApp button in bio</t>
  </si>
  <si>
    <t xml:space="preserve">Cinematic 6-scene cut, 4-5s each: dunes at sunrise → boarding gate → hotel door opening to a ready room → stage lights warming up → concierge answering a phone at 03:00 → logo resolve. Calm Najdi VO (male or female). Warm sand/green grade. Ambient oud with a slow rise. Burned-in Arabic subtitles + English.</t>
  </si>
  <si>
    <t xml:space="preserve">PIN to profile. Shoot original footage only (Instagram stops recommending reposted clips since Apr 2026).</t>
  </si>
  <si>
    <t xml:space="preserve">Scripted</t>
  </si>
  <si>
    <t xml:space="preserve">21:00</t>
  </si>
  <si>
    <t xml:space="preserve">Video 20s</t>
  </si>
  <si>
    <t xml:space="preserve">One Call</t>
  </si>
  <si>
    <t xml:space="preserve">POV: you said it once and it just happened</t>
  </si>
  <si>
    <t xml:space="preserve">On-screen: لما تقول طلبك مرة وحدة… 👀</t>
  </si>
  <si>
    <t xml:space="preserve">You said it once. We did the rest.</t>
  </si>
  <si>
    <t xml:space="preserve">قلتها مرة… والباقي علينا</t>
  </si>
  <si>
    <t xml:space="preserve">أول فيديو لنا 👋 احنا مادا من الرياض.
قل طلبك مرة، والباقي علينا ✈️🏨
وش أول وجهة نخطط لها لك؟ اكتبها بالتعليقات 👇</t>
  </si>
  <si>
    <t xml:space="preserve">Our first video. We're Mada from Riyadh. Say it once and we handle the rest. Where should we plan first? Comment below.</t>
  </si>
  <si>
    <t xml:space="preserve">تخطيط رحلة, رحلة العلا, travel planner Riyadh</t>
  </si>
  <si>
    <t xml:space="preserve">#مادا #سفر #العلا #السعودية #tiktoksaudi</t>
  </si>
  <si>
    <t xml:space="preserve">Comment your dream destination</t>
  </si>
  <si>
    <t xml:space="preserve">Open on a real-sounding voice note bubble: 'أبي آخذ أهلي العلا الويكند الجاي'. Jump cuts in sync with a trending beat: laptop, WhatsApp confirmations popping (flight ✓ hotel ✓ transfer ✓), then the family (from behind) walking into Hegra at golden hour. 9:16, captions on.</t>
  </si>
  <si>
    <t xml:space="preserve">Reply to every comment with a video reply over the following days. That reply series feeds week 2.</t>
  </si>
  <si>
    <t xml:space="preserve">13:00</t>
  </si>
  <si>
    <t xml:space="preserve">Post (pinned)</t>
  </si>
  <si>
    <t xml:space="preserve">Launch post</t>
  </si>
  <si>
    <t xml:space="preserve">مادا يعني المدى.</t>
  </si>
  <si>
    <t xml:space="preserve">مادا يعني المدى.
من اليوم، كل أفق في متناولك: سفر، تذاكر، فنادق، تأشيرات، فعاليات، كوادر وتقنية.
فريق واحد يرد عليك حتى الساعة ٣ الفجر.
وش الوجهة اللي تحلم فيها هالشتاء؟ 👇</t>
  </si>
  <si>
    <t xml:space="preserve">Mada means reach. From today every horizon is within reach: travel, tickets, hotels, visas, events, crews and tech. One team that picks up even at 3 a.m. Where are you dreaming of this winter?</t>
  </si>
  <si>
    <t xml:space="preserve">وكالة سفر, سفر الشتاء</t>
  </si>
  <si>
    <t xml:space="preserve">#مادا</t>
  </si>
  <si>
    <t xml:space="preserve">Reply with a destination</t>
  </si>
  <si>
    <t xml:space="preserve">Attach the launch film's 15s cut (native upload, not a link).</t>
  </si>
  <si>
    <t xml:space="preserve">Pin. Reply to every answer within the hour, since replies feed ranking.</t>
  </si>
  <si>
    <t xml:space="preserve">09:30</t>
  </si>
  <si>
    <t xml:space="preserve">Image + post</t>
  </si>
  <si>
    <t xml:space="preserve">Events &amp; Business</t>
  </si>
  <si>
    <t xml:space="preserve">Mada Trips opens its doors</t>
  </si>
  <si>
    <t xml:space="preserve">One partner for everything that moves.</t>
  </si>
  <si>
    <t xml:space="preserve">شريك واحد لكل ما يتحرك</t>
  </si>
  <si>
    <t xml:space="preserve">Today Mada Trips opens its doors in Riyadh.
Most organisations juggle seven vendors to move one delegation: an airline desk, a hotel contact, a visa agent, an event producer, a crew supplier, an IT vendor and someone who chases them all.
We built Mada so that is one call.
→ Travel, ticketing and hotels
→ Visa support and business services
→ Manpower and specialist supply
→ Events and the IT beneath them
One team, one point of contact, one report that accounts for every riyal.
If you are planning a delegation, a conference or a project mobilisation for 2027, we'd like to hear about it.</t>
  </si>
  <si>
    <t xml:space="preserve">corporate travel Saudi Arabia, event management Riyadh, manpower supply KSA</t>
  </si>
  <si>
    <t xml:space="preserve">#Riyadh #CorporateTravel #EventManagement #Vision2030</t>
  </si>
  <si>
    <t xml:space="preserve">Message us / visit the website</t>
  </si>
  <si>
    <t xml:space="preserve">Single 1200x1500 image: sand background, green headline, the 9 service names in a quiet grid, symbol in gold. Founder reshares with a personal line within 2 hours.</t>
  </si>
  <si>
    <t xml:space="preserve">Ask the founder and every team member to comment with substance (not 'congrats') in the first hour.</t>
  </si>
  <si>
    <t xml:space="preserve">Mon</t>
  </si>
  <si>
    <t xml:space="preserve">Carousel 10</t>
  </si>
  <si>
    <t xml:space="preserve">Launch week</t>
  </si>
  <si>
    <t xml:space="preserve">9 services. 1 call.</t>
  </si>
  <si>
    <t xml:space="preserve">Slide 1: Say it once. We'll take it from there.</t>
  </si>
  <si>
    <t xml:space="preserve">Say it once. We'll take it from there.</t>
  </si>
  <si>
    <t xml:space="preserve">قلها مرة… ونكمّل عنك</t>
  </si>
  <si>
    <t xml:space="preserve">تسع خدمات، ورقم واحد.
١ السفر ٢ التذاكر ٣ الفنادق ٤ التأشيرات ٥ خدمات الأعمال ٦ الكوادر ٧ المختصين ٨ الفعاليات ٩ الحلول التقنية
احفظ المنشور لين تحتاجنا 📌</t>
  </si>
  <si>
    <t xml:space="preserve">Nine services, one number. Travel, ticketing, hotels, visas, business services, manpower, specialists, events, IT. Save this for when you need us.</t>
  </si>
  <si>
    <t xml:space="preserve">خدمات سفر, حجز فنادق, تأشيرات, تنظيم فعاليات</t>
  </si>
  <si>
    <t xml:space="preserve">#مادا #MadaTrips #خدمات_سفر #تنظيم_فعاليات #الرياض</t>
  </si>
  <si>
    <t xml:space="preserve">Save + share with the person who always plans</t>
  </si>
  <si>
    <t xml:space="preserve">4:5 (1080x1350). One service per slide: a single real photo, a 3-word promise, the Arabic word large in Reem Kufi. Slide 10: WhatsApp number + 'One call. Everything moves.' Keep text off the bottom 300px.</t>
  </si>
  <si>
    <t xml:space="preserve">Video 50s</t>
  </si>
  <si>
    <t xml:space="preserve">Know Before You Go</t>
  </si>
  <si>
    <t xml:space="preserve">Visa in 60</t>
  </si>
  <si>
    <t xml:space="preserve">Evergreen visa (rule since Apr 2024)</t>
  </si>
  <si>
    <t xml:space="preserve">Schengen 5-year visa for Saudis</t>
  </si>
  <si>
    <t xml:space="preserve">Spoken + on-screen in the first 2s: فيزا شنغن ٥ سنوات؟ حتى من أول مرة!</t>
  </si>
  <si>
    <t xml:space="preserve">5-year Schengen. Even on your first application.</t>
  </si>
  <si>
    <t xml:space="preserve">شنغن ٥ سنوات… حتى من أول مرة</t>
  </si>
  <si>
    <t xml:space="preserve">فيزا شنغن متعددة لين ٥ سنوات للسعوديين المقيمين في المملكة — حتى لو أول مرة تقدم ✅
بس فيه ٣ أشياء لازم تعرفها قبل الموعد 👇
احفظ الفيديو وأرسله لرفيق السفر.</t>
  </si>
  <si>
    <t xml:space="preserve">Saudi nationals living in the Kingdom can get a multiple-entry Schengen visa of up to 5 years, even on a first application. Here are 3 things to know before your appointment.</t>
  </si>
  <si>
    <t xml:space="preserve">تأشيرة شنغن, فيزا شنغن للسعوديين, شنغن ٥ سنوات, Schengen visa Saudi</t>
  </si>
  <si>
    <t xml:space="preserve">#تأشيرة_شنغن #فيزا #سفر #السعودية #مادا</t>
  </si>
  <si>
    <t xml:space="preserve">Save + 'send to your travel buddy'</t>
  </si>
  <si>
    <t xml:space="preserve">Concierge on camera, green-screen behind with the EU visa page. 3 numbered points as text pops: (1) validity is at the embassy's discretion, (2) apply 3-6 weeks before travel, (3) bring bank statement + employment letter + insurance. End card: 'Want us to prepare your file? Link in bio'.</t>
  </si>
  <si>
    <t xml:space="preserve">Legal check: say 'up to' and 'at the embassy's discretion'. Never promise approval.</t>
  </si>
  <si>
    <t xml:space="preserve">12:30</t>
  </si>
  <si>
    <t xml:space="preserve">Thread 5</t>
  </si>
  <si>
    <t xml:space="preserve">Evergreen visa</t>
  </si>
  <si>
    <t xml:space="preserve">Schengen 5-year visa thread</t>
  </si>
  <si>
    <t xml:space="preserve">فيزا شنغن ٥ سنوات للسعوديين: الدليل المختصر 🧵</t>
  </si>
  <si>
    <t xml:space="preserve">١/ فيزا شنغن متعددة لين ٥ سنوات للسعوديين المقيمين بالمملكة، حتى في أول طلب. الدليل المختصر 🧵
٢/ المدة تقررها السفارة حسب ملفك. السفر السابق والملف المرتب يفرقون.
٣/ قدّم قبل سفرك بـ٣ إلى ٦ أسابيع، ولا تقدم قبل أكثر من ٦ شهور.
٤/ الأساسيات: جواز ساري، كشف حساب، خطاب جهة العمل، تأمين سفر، حجوزات.
٥/ تبي نجهز ملفك ونحجز موعدك؟ نسويها لك من البداية للنهاية.</t>
  </si>
  <si>
    <t xml:space="preserve">1/ Saudis living in KSA can get a multiple-entry Schengen visa of up to 5 years, even on a first application. 2/ The embassy decides the validity. 3/ Apply 3-6 weeks before travel, never more than 6 months. 4/ Basics: passport, bank statement, employer letter, insurance, bookings. 5/ Want us to prepare your file?</t>
  </si>
  <si>
    <t xml:space="preserve">تأشيرة شنغن, Schengen visa</t>
  </si>
  <si>
    <t xml:space="preserve">#تأشيرة_شنغن</t>
  </si>
  <si>
    <t xml:space="preserve">DM / WhatsApp</t>
  </si>
  <si>
    <t xml:space="preserve">Text-only thread (text posts carry the highest median engagement on X per Buffer 2026). One image on tweet 1: a branded checklist card.</t>
  </si>
  <si>
    <t xml:space="preserve">Space threads at least 3 hours from other posts. X downranks bursts from the same author.</t>
  </si>
  <si>
    <t xml:space="preserve">Tue</t>
  </si>
  <si>
    <t xml:space="preserve">Static 4:5</t>
  </si>
  <si>
    <t xml:space="preserve">A note from our founder</t>
  </si>
  <si>
    <t xml:space="preserve">In Arabia, no guest walks alone.</t>
  </si>
  <si>
    <t xml:space="preserve">“In Arabia, no guest walks alone.” Bader Al Sulaiman</t>
  </si>
  <si>
    <t xml:space="preserve">«في جزيرة العرب، ما يمشي ضيف وحده.» بدر السليمان</t>
  </si>
  <si>
    <t xml:space="preserve">في جزيرة العرب، ما يمشي ضيف وحده.
هذا الوعد اللي بنينا عليه مادا: كل مسافر، كل فريق، وكل فكرة تجي للمملكة… معها أحد.
— بدر السليمان، المؤسس والرئيس التنفيذي</t>
  </si>
  <si>
    <t xml:space="preserve">In Arabia, no guest walks alone. That promise is what Mada is built on: every traveller, every team and every idea that comes to the Kingdom has someone with them. Bader Al Sulaiman, Founder &amp; CEO.</t>
  </si>
  <si>
    <t xml:space="preserve">مادا, بدر السليمان</t>
  </si>
  <si>
    <t xml:space="preserve">#مادا #MadaTrips #ضيافة #الرياض</t>
  </si>
  <si>
    <t xml:space="preserve">Follow for the journey</t>
  </si>
  <si>
    <t xml:space="preserve">Founder portrait (assets/img/founder.jpg) in green duotone, quote in Instrument Serif italic EN + Aref Ruqaa AR, signature at bottom.</t>
  </si>
  <si>
    <t xml:space="preserve">APPROVAL: the quote is still draft copy (see README). Get Bader's sign-off before scheduling.</t>
  </si>
  <si>
    <t xml:space="preserve">Video 45s</t>
  </si>
  <si>
    <t xml:space="preserve">Horizons</t>
  </si>
  <si>
    <t xml:space="preserve">Riyadh Season 2026 (from 21 Oct)</t>
  </si>
  <si>
    <t xml:space="preserve">5 things nobody tells you about Riyadh Season</t>
  </si>
  <si>
    <t xml:space="preserve">On-screen: ٥ أشياء محد يقولها لك عن موسم الرياض 🤫</t>
  </si>
  <si>
    <t xml:space="preserve">٥ أشياء محد يقولها لك عن موسم الرياض</t>
  </si>
  <si>
    <t xml:space="preserve">موسم الرياض ٢٠٢٦ بدأ ✨ بس قبل تروح… هذي ٥ أشياء محد يقولها لك 👇
أي وحدة كنت تعرفها؟</t>
  </si>
  <si>
    <t xml:space="preserve">Riyadh Season 2026 is on. Before you go, here are 5 things nobody tells you. Which one did you already know?</t>
  </si>
  <si>
    <t xml:space="preserve">موسم الرياض, موسم الرياض ٢٠٢٦, Riyadh Season 2026, بوليفارد وورلد</t>
  </si>
  <si>
    <t xml:space="preserve">#موسم_الرياض #بوليفارد_وورلد #الرياض #RiyadhSeason #مادا</t>
  </si>
  <si>
    <t xml:space="preserve">Comment which tip you didn't know</t>
  </si>
  <si>
    <t xml:space="preserve">Fast list format, one tip per 7-8s, real footage from Boulevard World and Boulevard City: (1) book tickets ahead on the official app (2) weekdays after 9pm are calmer (3) comfortable shoes, it's a lot of walking (4) agree a meeting point, signal drops in crowds (5) check each zone's opening days. Text + VO.</t>
  </si>
  <si>
    <t xml:space="preserve">Verify zone hours on the official channels the morning of posting.</t>
  </si>
  <si>
    <t xml:space="preserve">12:00</t>
  </si>
  <si>
    <t xml:space="preserve">Post</t>
  </si>
  <si>
    <t xml:space="preserve">Airline schedule changes after the October RUH closures</t>
  </si>
  <si>
    <t xml:space="preserve">Disruption help line</t>
  </si>
  <si>
    <t xml:space="preserve">رحلتك تأثرت بتعديلات الطيران الأخيرة؟</t>
  </si>
  <si>
    <t xml:space="preserve">رحلتك تأثرت بتعديلات الطيران الأخيرة؟
أرسل لنا رقم الحجز على الواتساب، ونتابع لك خيارات التعديل أو الاسترداد مع شركة الطيران، بدون ما تنتظر على الخط.
حتى لو ما حجزت معنا.</t>
  </si>
  <si>
    <t xml:space="preserve">Was your flight affected by recent schedule changes? Send us your booking reference on WhatsApp and we'll chase change or refund options with the airline. Even if you didn't book with us.</t>
  </si>
  <si>
    <t xml:space="preserve">تعديل رحلة, استرداد تذكرة</t>
  </si>
  <si>
    <t xml:space="preserve">WhatsApp</t>
  </si>
  <si>
    <t xml:space="preserve">Text only, calm tone. No airport imagery, no mention of attacks.</t>
  </si>
  <si>
    <t xml:space="preserve">SENSITIVITY: post only if foreign carriers' suspensions are still affecting travellers that week (check Monday). Never joke about airports or safety.</t>
  </si>
  <si>
    <t xml:space="preserve">Document 8 pages</t>
  </si>
  <si>
    <t xml:space="preserve">Post-FII10 (26-29 Oct)</t>
  </si>
  <si>
    <t xml:space="preserve">Hosting international delegates in Riyadh: the checklist</t>
  </si>
  <si>
    <t xml:space="preserve">Page 1: 200 delegates land in Riyadh in 12 weeks. What has to be true?</t>
  </si>
  <si>
    <t xml:space="preserve">Hosting delegates in Riyadh: the 2027 checklist</t>
  </si>
  <si>
    <t xml:space="preserve">FII10 just wrapped, and 2027's calendar is already filling. If you are hosting international delegates in Riyadh, this is the checklist we run:
1. Visas: business eVisa vs visit visa, lead times per nationality
2. Arrivals: meet-and-assist, fast-track, VIP lanes
3. Rooms: blocks near the venue, release dates, rooming lists
4. Ground: transfer waves timed to sessions, not flights
5. Badging and registration
6. Cultural briefing: dress, prayer times, Friday schedules
7. A single live status board for the host team
8. The after-report: every booking, every riyal
Swipe for the full version. Save it for your next event.</t>
  </si>
  <si>
    <t xml:space="preserve">delegation management Riyadh, MICE Saudi Arabia, business eVisa Saudi</t>
  </si>
  <si>
    <t xml:space="preserve">#MICE #Riyadh #EventManagement #CorporateTravel</t>
  </si>
  <si>
    <t xml:space="preserve">Save + DM 'CHECKLIST' for the editable version</t>
  </si>
  <si>
    <t xml:space="preserve">PDF carousel, 1080x1350 pages, sand background, one point per page with a small icon. Documents lead LinkedIn engagement (Buffer 2026, Socialinsider 2026).</t>
  </si>
  <si>
    <t xml:space="preserve">Wed</t>
  </si>
  <si>
    <t xml:space="preserve">Reel 35s</t>
  </si>
  <si>
    <t xml:space="preserve">AlUla Skies Festival 6-15 Nov</t>
  </si>
  <si>
    <t xml:space="preserve">One Call #1: three rooms for AlUla Skies</t>
  </si>
  <si>
    <t xml:space="preserve">Voice note plays: 'نبي ٣ غرف بالعلا ويكند مهرجان السماء…'</t>
  </si>
  <si>
    <t xml:space="preserve">One call. 3 rooms. 4 minutes.</t>
  </si>
  <si>
    <t xml:space="preserve">مكالمة وحدة. ٣ غرف. ٤ دقائق.</t>
  </si>
  <si>
    <t xml:space="preserve">مكالمة وحدة… والويكند جاهز 🎈
سلسلة «مكالمة وحدة»: طلبات حقيقية، وكيف نحلها.
وش الطلب اللي تبينا نحله في الحلقة الجاية؟</t>
  </si>
  <si>
    <t xml:space="preserve">One call and the weekend is ready. 'One Call' is our series of real requests and how we solve them. What should we solve next?</t>
  </si>
  <si>
    <t xml:space="preserve">مهرجان سماء العلا, فنادق العلا, AlUla Skies Festival</t>
  </si>
  <si>
    <t xml:space="preserve">#مكالمة_وحدة #العلا #سماء_العلا #مادا #AlUla</t>
  </si>
  <si>
    <t xml:space="preserve">Comment your request for the next episode</t>
  </si>
  <si>
    <t xml:space="preserve">Split screen. Left: the client's voice note waveform + subtitles. Right: the concierge working (calls, screens blurred, confirmations). A running timer top-right. Ends on the client's reply: '😍 تم'. Natural office sound, no music under the voice.</t>
  </si>
  <si>
    <t xml:space="preserve">Re-enact with consent and anonymise. Label it 'based on a real request' if re-enacted.</t>
  </si>
  <si>
    <t xml:space="preserve">Video 40s</t>
  </si>
  <si>
    <t xml:space="preserve">AlUla Skies Festival: what to do</t>
  </si>
  <si>
    <t xml:space="preserve">On-screen + VO: العلا تفتح سماها ٦ نوفمبر 🎈</t>
  </si>
  <si>
    <t xml:space="preserve">AlUla Skies · 6-15 Nov</t>
  </si>
  <si>
    <t xml:space="preserve">سماء العلا · ٦–١٥ نوفمبر</t>
  </si>
  <si>
    <t xml:space="preserve">مهرجان سماء العلا من ٦ لين ١٥ نوفمبر 🎈🔭
مناطيد الشروق، عروض المناطيد المضيئة بالليل، ورصد النجوم بأظلم ليالي الشهر.
مين بتاخذ معك؟ منشنه 👇</t>
  </si>
  <si>
    <t xml:space="preserve">AlUla Skies Festival, 6-15 November: sunrise balloon flights, balloon glow at night and stargazing on the darkest nights of the month. Tag who you're taking.</t>
  </si>
  <si>
    <t xml:space="preserve">مهرجان سماء العلا, العلا نوفمبر, منطاد العلا, AlUla Skies</t>
  </si>
  <si>
    <t xml:space="preserve">#العلا #سماء_العلا #منطاد #السعودية #مادا</t>
  </si>
  <si>
    <t xml:space="preserve">Tag a friend</t>
  </si>
  <si>
    <t xml:space="preserve">Countdown style: 3 beats (balloons at sunrise → balloon glow → stars over the rocks). Use our own AlUla stills/footage. 'Moonless 7-12 Nov' as a pop-up fact.</t>
  </si>
  <si>
    <t xml:space="preserve">Confirm the programme (incl. any concert) on Experience AlUla's channels before posting.</t>
  </si>
  <si>
    <t xml:space="preserve">18:00</t>
  </si>
  <si>
    <t xml:space="preserve">Poll</t>
  </si>
  <si>
    <t xml:space="preserve">AlUla Skies Festival</t>
  </si>
  <si>
    <t xml:space="preserve">AlUla: which one?</t>
  </si>
  <si>
    <t xml:space="preserve">في العلا، وش تختار أول؟</t>
  </si>
  <si>
    <t xml:space="preserve">في العلا، وش تختار أول؟ 🏜️</t>
  </si>
  <si>
    <t xml:space="preserve">In AlUla, what do you pick first?</t>
  </si>
  <si>
    <t xml:space="preserve">العلا</t>
  </si>
  <si>
    <t xml:space="preserve">#سماء_العلا</t>
  </si>
  <si>
    <t xml:space="preserve">Vote</t>
  </si>
  <si>
    <t xml:space="preserve">Poll options: 🎈 منطاد الشروق / 🔭 رصد النجوم / 🏛️ جولة الحِجر / 🍽️ عشاء بالصحراء</t>
  </si>
  <si>
    <t xml:space="preserve">Thu</t>
  </si>
  <si>
    <t xml:space="preserve">19:30</t>
  </si>
  <si>
    <t xml:space="preserve">Carousel 7</t>
  </si>
  <si>
    <t xml:space="preserve">Weekend Radar</t>
  </si>
  <si>
    <t xml:space="preserve">Riyadh Season, AlUla Skies, WWE Crown Jewel (7 Nov)</t>
  </si>
  <si>
    <t xml:space="preserve">Weekend Radar #1</t>
  </si>
  <si>
    <t xml:space="preserve">Slide 1: This weekend in Riyadh &amp; beyond · 5-7 Nov</t>
  </si>
  <si>
    <t xml:space="preserve">Weekend Radar · 5-7 Nov</t>
  </si>
  <si>
    <t xml:space="preserve">رادار الويكند · ٥–٧ نوفمبر</t>
  </si>
  <si>
    <t xml:space="preserve">رادار الويكند 📡
• موسم الرياض: الأجنحة الجديدة في بوليفارد وورلد (هولندا، البرتغال، اليمن)
• العلا: افتتاح مهرجان سماء العلا الجمعة
• السبت: ليلة WWE Crown Jewel في الرياض
• موسم سباقات الرياض مستمر
احفظه وشاركه مع شلتك 📌</t>
  </si>
  <si>
    <t xml:space="preserve">Weekend Radar. Riyadh Season's new Boulevard World pavilions, AlUla Skies opens Friday, WWE Crown Jewel on Saturday, and Riyadh racing season continues. Save and share.</t>
  </si>
  <si>
    <t xml:space="preserve">فعاليات الرياض هالويكند, وش اسوي بالرياض, Riyadh this weekend</t>
  </si>
  <si>
    <t xml:space="preserve">#رادار_الويكند #موسم_الرياض #فعاليات_الرياض #الرياض #مادا</t>
  </si>
  <si>
    <t xml:space="preserve">Save + share to your group</t>
  </si>
  <si>
    <t xml:space="preserve">Recurring template every Thursday: green cover with a radar-sweep graphic, one event per slide with date, place and a one-line tip. Last slide: 'Need tickets, a table or a ride? WhatsApp'.</t>
  </si>
  <si>
    <t xml:space="preserve">21:30</t>
  </si>
  <si>
    <t xml:space="preserve">Reel 25s</t>
  </si>
  <si>
    <t xml:space="preserve">AlUla Skies weekend</t>
  </si>
  <si>
    <t xml:space="preserve">Pack with me: AlUla in November</t>
  </si>
  <si>
    <t xml:space="preserve">Hands open a carry-on: 'AlUla nights are colder than you think'</t>
  </si>
  <si>
    <t xml:space="preserve">AlUla in November: pack for two seasons</t>
  </si>
  <si>
    <t xml:space="preserve">العلا في نوفمبر: جهز لفصلين</t>
  </si>
  <si>
    <t xml:space="preserve">العلا في نوفمبر: النهار دافي والليل بارد 🧥
هذي شنطتنا لثلاث ليالي. وش الشي اللي دايم تنساه؟</t>
  </si>
  <si>
    <t xml:space="preserve">AlUla in November: warm days, cold nights. Here's our bag for 3 nights. What do you always forget?</t>
  </si>
  <si>
    <t xml:space="preserve">وش اخذ معي العلا, ملابس العلا, AlUla packing list</t>
  </si>
  <si>
    <t xml:space="preserve">#العلا #شنطة_السفر #سفر #مادا #AlUla</t>
  </si>
  <si>
    <t xml:space="preserve">Comment what you always forget</t>
  </si>
  <si>
    <t xml:space="preserve">Top-down ASMR packing, no VO. Real sounds (zips, folding). On-screen labels: layers, scarf, walking shoes, power bank, headlamp for stargazing, sunscreen. Last frame: a ready card 'Transfer booked ✓'.</t>
  </si>
  <si>
    <t xml:space="preserve">20:00</t>
  </si>
  <si>
    <t xml:space="preserve">Video 55s</t>
  </si>
  <si>
    <t xml:space="preserve">Riyadh Season 2026</t>
  </si>
  <si>
    <t xml:space="preserve">Riyadh Season zones in 60 seconds</t>
  </si>
  <si>
    <t xml:space="preserve">VO: موسم الرياض بدقيقة. يلا 🏃</t>
  </si>
  <si>
    <t xml:space="preserve">Riyadh Season in 60s</t>
  </si>
  <si>
    <t xml:space="preserve">موسم الرياض بدقيقة</t>
  </si>
  <si>
    <t xml:space="preserve">موسم الرياض ٢٠٢٦ بدقيقة ⏱️ وش المنطقة اللي بتبدأ فيها؟
بوليفارد وورلد، بوليفارد سيتي، ونستر غاردن، ذا قروفز، سوق المزارعين، وأنا عربية في ڤيا رياض.</t>
  </si>
  <si>
    <t xml:space="preserve">Riyadh Season 2026 in a minute: Boulevard World, Boulevard City, Wonder Garden, The Groves, the Farmers' Market and Ana Arabia at VIA Riyadh. Where do you start?</t>
  </si>
  <si>
    <t xml:space="preserve">مناطق موسم الرياض, موسم الرياض ٢٠٢٦, Riyadh Season zones</t>
  </si>
  <si>
    <t xml:space="preserve">#موسم_الرياض #RiyadhSeason #الرياض #فعاليات #مادا</t>
  </si>
  <si>
    <t xml:space="preserve">Comment your first zone</t>
  </si>
  <si>
    <t xml:space="preserve">Walk-and-talk, one zone per 8s, a location pin pops for each. Keep the zone names on screen for search.</t>
  </si>
  <si>
    <t xml:space="preserve">22:00</t>
  </si>
  <si>
    <t xml:space="preserve">Photo carousel 6</t>
  </si>
  <si>
    <t xml:space="preserve">AlUla Skies</t>
  </si>
  <si>
    <t xml:space="preserve">Rate my itinerary: 3 days in AlUla</t>
  </si>
  <si>
    <t xml:space="preserve">Slide 1: قيّم برنامجي: ٣ أيام في العلا من ١٠</t>
  </si>
  <si>
    <t xml:space="preserve">Rate my itinerary: AlUla 3 days</t>
  </si>
  <si>
    <t xml:space="preserve">قيّم برنامجي: ٣ أيام بالعلا</t>
  </si>
  <si>
    <t xml:space="preserve">قيّم برنامجنا من ١٠ 👇 وش تضيف؟ وش تشيل؟
اليوم ١: وصول + غروب عند جبل الفيل
اليوم ٢: الحِجر صباحاً + رصد النجوم
اليوم ٣: منطاد الشروق + البلدة القديمة</t>
  </si>
  <si>
    <t xml:space="preserve">Rate our itinerary out of 10. Day 1: arrival and sunset at Elephant Rock. Day 2: Hegra and stargazing. Day 3: sunrise balloon and the Old Town.</t>
  </si>
  <si>
    <t xml:space="preserve">برنامج العلا ٣ ايام, جدول العلا, AlUla itinerary</t>
  </si>
  <si>
    <t xml:space="preserve">#العلا #برنامج_سياحي #سفر #السعودية #مادا</t>
  </si>
  <si>
    <t xml:space="preserve">Rate it in comments</t>
  </si>
  <si>
    <t xml:space="preserve">TikTok Photo Mode: big readable Arabic text on each slide, one photo per day. Itinerary text on slides is indexed by search.</t>
  </si>
  <si>
    <t xml:space="preserve">Thread 4</t>
  </si>
  <si>
    <t xml:space="preserve">Weekend</t>
  </si>
  <si>
    <t xml:space="preserve">Weekend Radar on X</t>
  </si>
  <si>
    <t xml:space="preserve">وش نسوي هالويكند؟ 📡</t>
  </si>
  <si>
    <t xml:space="preserve">وش نسوي هالويكند؟ 📡 رادار مادا:
١/ موسم الرياض: أجنحة جديدة ببوليفارد وورلد (هولندا، البرتغال، اليمن)
٢/ العلا: مهرجان سماء العلا يبدأ الجمعة ٦ نوفمبر
٣/ السبت ٧ نوفمبر: WWE Crown Jewel
تبي تذاكر أو حجز أو توصيل؟ كلمنا.</t>
  </si>
  <si>
    <t xml:space="preserve">What's on this weekend: Riyadh Season's new pavilions, AlUla Skies opens Friday, WWE Crown Jewel on Saturday. Need tickets, a booking or a ride? Talk to us.</t>
  </si>
  <si>
    <t xml:space="preserve">فعاليات الويكند</t>
  </si>
  <si>
    <t xml:space="preserve">#موسم_الرياض</t>
  </si>
  <si>
    <t xml:space="preserve">Reply / DM</t>
  </si>
  <si>
    <t xml:space="preserve">Image on tweet 1 = cover slide of the IG Weekend Radar.</t>
  </si>
  <si>
    <t xml:space="preserve">Fri</t>
  </si>
  <si>
    <t xml:space="preserve">Reel 20s</t>
  </si>
  <si>
    <t xml:space="preserve">AlUla Skies opening day</t>
  </si>
  <si>
    <t xml:space="preserve">06:00 in AlUla (balloon ASMR)</t>
  </si>
  <si>
    <t xml:space="preserve">Sound of the burner first, then black → sunrise</t>
  </si>
  <si>
    <t xml:space="preserve">06:00 · AlUla</t>
  </si>
  <si>
    <t xml:space="preserve">٦ الفجر · العلا</t>
  </si>
  <si>
    <t xml:space="preserve">٦ الفجر في العلا 🎈
بدون كلام. ارفع الصوت.</t>
  </si>
  <si>
    <t xml:space="preserve">6 a.m. in AlUla. No words. Sound on.</t>
  </si>
  <si>
    <t xml:space="preserve">منطاد العلا, AlUla hot air balloon, سماء العلا</t>
  </si>
  <si>
    <t xml:space="preserve">#العلا #سماء_العلا #منطاد #AlUla #مادا</t>
  </si>
  <si>
    <t xml:space="preserve">Share to someone who'd love this</t>
  </si>
  <si>
    <t xml:space="preserve">Pure ASMR: burner roar, wind, quiet gasps. Wide sunrise over the sandstone, then a detail of hands on the basket. No music. No text except the time stamp.</t>
  </si>
  <si>
    <t xml:space="preserve">Needs our own crew/creator in AlUla 6-8 Nov. Fallback: swap with the 'One Call #1' cut-down. Do not repost festival footage.</t>
  </si>
  <si>
    <t xml:space="preserve">Video 15s</t>
  </si>
  <si>
    <t xml:space="preserve">POV: 6am in AlUla</t>
  </si>
  <si>
    <t xml:space="preserve">On-screen: POV: صحيت ٥ الفجر عشان هذا 👇</t>
  </si>
  <si>
    <t xml:space="preserve">POV: woke up at 5am for this</t>
  </si>
  <si>
    <t xml:space="preserve">POV: صحيت ٥ الفجر عشان هذا</t>
  </si>
  <si>
    <t xml:space="preserve">يستاهل ولا لا؟ 🎈 #سماء_العلا</t>
  </si>
  <si>
    <t xml:space="preserve">Worth it or not?</t>
  </si>
  <si>
    <t xml:space="preserve">منطاد العلا, POV العلا</t>
  </si>
  <si>
    <t xml:space="preserve">#سماء_العلا #العلا #POV #السعودية #مادا</t>
  </si>
  <si>
    <t xml:space="preserve">Comment 'worth it' or 'no'</t>
  </si>
  <si>
    <t xml:space="preserve">Sleepy alarm at 05:00 (relatable) → cut to balloon lift-off on the beat. Short loopable edit.</t>
  </si>
  <si>
    <t xml:space="preserve">18:30</t>
  </si>
  <si>
    <t xml:space="preserve">Post + image</t>
  </si>
  <si>
    <t xml:space="preserve">AlUla Skies opens today</t>
  </si>
  <si>
    <t xml:space="preserve">اليوم يبدأ مهرجان سماء العلا 🎈</t>
  </si>
  <si>
    <t xml:space="preserve">اليوم يبدأ مهرجان سماء العلا 🎈
نصيحة من فريقنا: أظلم الليالي من ٧ لين ١٢ نوفمبر. إذا جيت عشان النجوم، هذي ليالينا.</t>
  </si>
  <si>
    <t xml:space="preserve">AlUla Skies Festival starts today. Tip from our team: the darkest nights are 7-12 November. If you're coming for the stars, these are the nights.</t>
  </si>
  <si>
    <t xml:space="preserve">سماء العلا</t>
  </si>
  <si>
    <t xml:space="preserve">Bookmark</t>
  </si>
  <si>
    <t xml:space="preserve">One original night-sky photo.</t>
  </si>
  <si>
    <t xml:space="preserve">Post after Maghrib. Avoid the Friday prayer window.</t>
  </si>
  <si>
    <t xml:space="preserve">Sat</t>
  </si>
  <si>
    <t xml:space="preserve">Carousel 6</t>
  </si>
  <si>
    <t xml:space="preserve">WWE Crown Jewel (7 Nov)</t>
  </si>
  <si>
    <t xml:space="preserve">Big night in Riyadh: the stress-free plan</t>
  </si>
  <si>
    <t xml:space="preserve">Slide 1: Event night in Riyadh? Here's the plan that never fails</t>
  </si>
  <si>
    <t xml:space="preserve">Event night in Riyadh: the no-stress plan</t>
  </si>
  <si>
    <t xml:space="preserve">ليلة فعالية بالرياض؟ الخطة اللي ما تخذلك</t>
  </si>
  <si>
    <t xml:space="preserve">عندك فعالية الليلة؟ 🎟️
الخطة اللي نعطيها عملاءنا: وصول بدري، نقطة التقاء واضحة، عشاء محجوز قبل، وتوصيل جاهز بعد.
احفظها لأي ليلة كبيرة.</t>
  </si>
  <si>
    <t xml:space="preserve">Got an event tonight? The plan we give our clients: arrive early, agree a meeting point, book dinner before, have your ride ready after. Save it for any big night.</t>
  </si>
  <si>
    <t xml:space="preserve">فعاليات الرياض, Crown Jewel Riyadh, حفلات الرياض</t>
  </si>
  <si>
    <t xml:space="preserve">#فعاليات_الرياض #موسم_الرياض #الرياض #مادا #RiyadhSeason</t>
  </si>
  <si>
    <t xml:space="preserve">Save</t>
  </si>
  <si>
    <t xml:space="preserve">Checklist design, 5 slides with icons + 1 CTA slide. Timeline graphic 18:00 → 00:30.</t>
  </si>
  <si>
    <t xml:space="preserve">WWE Crown Jewel night</t>
  </si>
  <si>
    <t xml:space="preserve">Riyadh tonight</t>
  </si>
  <si>
    <t xml:space="preserve">On-screen: الرياض الليلة 🔥</t>
  </si>
  <si>
    <t xml:space="preserve">الرياض الليلة</t>
  </si>
  <si>
    <t xml:space="preserve">الرياض الليلة غير 🔥 وين كنتم؟</t>
  </si>
  <si>
    <t xml:space="preserve">Riyadh tonight hits different. Where were you?</t>
  </si>
  <si>
    <t xml:space="preserve">الرياض الليلة, موسم الرياض</t>
  </si>
  <si>
    <t xml:space="preserve">#الرياض #موسم_الرياض #CrownJewel #RiyadhSeason #مادا</t>
  </si>
  <si>
    <t xml:space="preserve">Comment where you were</t>
  </si>
  <si>
    <t xml:space="preserve">Atmosphere-only edit: crowds, lights, food stalls, the boulevard skyline. No match or arena footage (rights). Trending sound.</t>
  </si>
  <si>
    <t xml:space="preserve">No WWE logos or broadcast footage.</t>
  </si>
  <si>
    <t xml:space="preserve">19:00</t>
  </si>
  <si>
    <t xml:space="preserve">WWE Crown Jewel</t>
  </si>
  <si>
    <t xml:space="preserve">Crown Jewel night tip</t>
  </si>
  <si>
    <t xml:space="preserve">رايح #CrownJewel الليلة؟</t>
  </si>
  <si>
    <t xml:space="preserve">رايح #CrownJewel الليلة؟ 🎟️
ثلاث نصايح: ١) وصل قبل البداية بساعة ٢) اتفق مع ربعك على نقطة التقاء ٣) حدد مكان الركوب للرجعة من الحين.
استمتعوا!</t>
  </si>
  <si>
    <t xml:space="preserve">Going to Crown Jewel tonight? Arrive an hour early, agree a meeting point, pick your ride-home spot now. Enjoy!</t>
  </si>
  <si>
    <t xml:space="preserve">Crown Jewel الرياض</t>
  </si>
  <si>
    <t xml:space="preserve">#CrownJewel</t>
  </si>
  <si>
    <t xml:space="preserve">Reply</t>
  </si>
  <si>
    <t xml:space="preserve">Text only.</t>
  </si>
  <si>
    <t xml:space="preserve">Reel 40s</t>
  </si>
  <si>
    <t xml:space="preserve">Concierge Confessions</t>
  </si>
  <si>
    <t xml:space="preserve">Evergreen</t>
  </si>
  <si>
    <t xml:space="preserve">Concierge Confessions #1: the 3am call</t>
  </si>
  <si>
    <t xml:space="preserve">Phone lights up at 03:12. 'Hello… Mada?'</t>
  </si>
  <si>
    <t xml:space="preserve">03:12 · a call we'll never forget</t>
  </si>
  <si>
    <t xml:space="preserve">٣:١٢ الفجر · مكالمة ما ننساها</t>
  </si>
  <si>
    <t xml:space="preserve">الساعة ٣:١٢ الفجر… واحد من عملاءنا في مطار بعيد، والرحلة ألغيت.
هذي القصة كاملة 👇
«من دفتر الكونسيرج»: قصص حقيقية من شغلنا اليومي.</t>
  </si>
  <si>
    <t xml:space="preserve">03:12. A client at a faraway airport, flight cancelled. Here's the whole story. 'Concierge Confessions': real stories from our day-to-day.</t>
  </si>
  <si>
    <t xml:space="preserve">كونسيرج سفر, إلغاء رحلة, travel concierge</t>
  </si>
  <si>
    <t xml:space="preserve">#من_دفتر_الكونسيرج #مادا #سفر #MadaTrips #قصص_سفر</t>
  </si>
  <si>
    <t xml:space="preserve">Save + follow the series</t>
  </si>
  <si>
    <t xml:space="preserve">Storytime, concierge to camera in a dim office, cutaways to a phone screen and a departure board. Calm, human, slightly funny ending. 40s max.</t>
  </si>
  <si>
    <t xml:space="preserve">Real story, anonymised, with the client's OK.</t>
  </si>
  <si>
    <t xml:space="preserve">Winter in London (Winter Wonderland from 19 Nov)</t>
  </si>
  <si>
    <t xml:space="preserve">UK ETA for Saudis</t>
  </si>
  <si>
    <t xml:space="preserve">On-screen + VO: بريطانيا بدون فيزا؟ إيه، بس لازم هذا 👇</t>
  </si>
  <si>
    <t xml:space="preserve">UK: no visa, but you need an ETA</t>
  </si>
  <si>
    <t xml:space="preserve">بريطانيا بدون فيزا… بس لازم ETA</t>
  </si>
  <si>
    <t xml:space="preserve">السعوديين يدخلون بريطانيا بالـETA بدل الفيزا 🇬🇧
كيف تطلعها، كم صلاحيتها، ووش الغلط اللي يأخر الموافقة 👇</t>
  </si>
  <si>
    <t xml:space="preserve">Saudis enter the UK with an ETA instead of a visa. How to get it, how long it lasts and the mistake that delays approval.</t>
  </si>
  <si>
    <t xml:space="preserve">تأشيرة بريطانيا, ETA بريطانيا للسعوديين, UK ETA Saudi</t>
  </si>
  <si>
    <t xml:space="preserve">#بريطانيا #تأشيرة #لندن #سفر #مادا</t>
  </si>
  <si>
    <t xml:space="preserve">Save + send to your London crew</t>
  </si>
  <si>
    <t xml:space="preserve">Phone screen-record of the official UK ETA app (no personal data), concierge voice-over. Facts on screen: apply via the official app or gov.uk, multiple entries, valid 2 years or until the passport expires, stays up to 6 months. Fee: show the current gov.uk figure.</t>
  </si>
  <si>
    <t xml:space="preserve">Verify the fee on gov.uk/eta the day before. Third-party sources say £20 from Feb 2026.</t>
  </si>
  <si>
    <t xml:space="preserve">UK ETA thread</t>
  </si>
  <si>
    <t xml:space="preserve">مسافر لندن هالشتاء؟ لا تنسى الـETA 🇬🇧🧵</t>
  </si>
  <si>
    <t xml:space="preserve">١/ مسافر لندن هالشتاء؟ السعوديين يحتاجون ETA مو فيزا 🧵
٢/ تطلعها من التطبيق الرسمي أو gov.uk، والموافقة عادة سريعة.
٣/ صالحة سنتين أو لين ينتهي الجواز، دخول متعدد، لين ٦ شهور لكل زيارة.
٤/ تأكد إن رقم الجواز نفسه اللي بتسافر فيه، هذا أكثر غلط نشوفه.</t>
  </si>
  <si>
    <t xml:space="preserve">1/ Flying to London this winter? Saudis need an ETA, not a visa. 2/ Apply in the official app or on gov.uk. 3/ Valid 2 years or until the passport expires, multiple entries, up to 6 months per visit. 4/ Make sure it's the passport you'll travel on. That's the most common mistake we see.</t>
  </si>
  <si>
    <t xml:space="preserve">ETA بريطانيا</t>
  </si>
  <si>
    <t xml:space="preserve">#بريطانيا</t>
  </si>
  <si>
    <t xml:space="preserve">Text thread.</t>
  </si>
  <si>
    <t xml:space="preserve">Verify on gov.uk.</t>
  </si>
  <si>
    <t xml:space="preserve">Document 10 pages</t>
  </si>
  <si>
    <t xml:space="preserve">Field Notes</t>
  </si>
  <si>
    <t xml:space="preserve">Evergreen B2B</t>
  </si>
  <si>
    <t xml:space="preserve">Field Notes #1: a 200-person delegation, the 12-week timeline</t>
  </si>
  <si>
    <t xml:space="preserve">Page 1: Week -12 to Day 0</t>
  </si>
  <si>
    <t xml:space="preserve">200 delegates. 12 weeks. One plan.</t>
  </si>
  <si>
    <t xml:space="preserve">Field Notes #1. What it takes to bring 200 people to Riyadh for a three-day summit.
Week -12: brief, budget, dates, room block
Week -10: visa matrix by nationality
Week -8: flights in waves, transfer plan
Week -6: run of show v1, suppliers locked
Week -4: rooming list, badges, dietary needs
Week -2: rehearsal, transport dry-run
Day 0: arrivals desk live, status board open
The keynote gets the applause. The timeline gets everyone into the room.
What would you add?</t>
  </si>
  <si>
    <t xml:space="preserve">delegation management, conference planning Saudi Arabia, MICE Riyadh</t>
  </si>
  <si>
    <t xml:space="preserve">#FieldNotes #MICE #EventPlanning #Riyadh</t>
  </si>
  <si>
    <t xml:space="preserve">Comment what you'd add</t>
  </si>
  <si>
    <t xml:space="preserve">PDF document, a Gantt-style timeline across pages in brand green and gold.</t>
  </si>
  <si>
    <t xml:space="preserve">Carousel 8</t>
  </si>
  <si>
    <t xml:space="preserve">New moon 9 Nov · AlUla Skies</t>
  </si>
  <si>
    <t xml:space="preserve">The darkest nights of the year are this week</t>
  </si>
  <si>
    <t xml:space="preserve">Slide 1: The darkest sky of November is this week. Here's where to see it.</t>
  </si>
  <si>
    <t xml:space="preserve">Darkest skies: 7-12 Nov</t>
  </si>
  <si>
    <t xml:space="preserve">أظلم ليالي نوفمبر: ٧–١٢</t>
  </si>
  <si>
    <t xml:space="preserve">هالأسبوع بدون قمر 🌑 يعني أوضح نجوم بالسنة تقريباً.
وين تشوفها: العلا، صحراء الرياض بعيد عن الأنوار، وحافة العالم.
ونصيحة: الأحد ١٥ نوفمبر ذروة شهب الأسد 🌠</t>
  </si>
  <si>
    <t xml:space="preserve">No moon this week means some of the clearest stars of the year. Where to see them: AlUla, the desert outside Riyadh away from city lights, Edge of the World. And on Sunday 15 Nov the Leonid meteor shower peaks.</t>
  </si>
  <si>
    <t xml:space="preserve">رصد النجوم, نجوم العلا, شهب الاسد, stargazing Saudi</t>
  </si>
  <si>
    <t xml:space="preserve">#رصد_النجوم #العلا #شهب_الأسد #السعودية #مادا</t>
  </si>
  <si>
    <t xml:space="preserve">Night photography slides, a moon-phase strip graphic on slide 2, map of 3 spots, tips (red light, 20 min for eyes to adjust, warm layers).</t>
  </si>
  <si>
    <t xml:space="preserve">Video 30s</t>
  </si>
  <si>
    <t xml:space="preserve">New moon 9 Nov</t>
  </si>
  <si>
    <t xml:space="preserve">Why tonight is the darkest night</t>
  </si>
  <si>
    <t xml:space="preserve">VO: الليلة ما فيه قمر… وهذا خبر حلو 🌑</t>
  </si>
  <si>
    <t xml:space="preserve">No moon tonight. Good news.</t>
  </si>
  <si>
    <t xml:space="preserve">الليلة بدون قمر… وهذا خبر حلو</t>
  </si>
  <si>
    <t xml:space="preserve">ليش الليالي اللي بدون قمر أحلى للنجوم؟ 🌑✨ وين تشوفها قريب منك؟</t>
  </si>
  <si>
    <t xml:space="preserve">Why moonless nights are best for stars, and where to see them near you.</t>
  </si>
  <si>
    <t xml:space="preserve">رصد النجوم الرياض, وين اشوف النجوم</t>
  </si>
  <si>
    <t xml:space="preserve">#رصد_النجوم #الرياض #العلا #السعودية #مادا</t>
  </si>
  <si>
    <t xml:space="preserve">Comment your city</t>
  </si>
  <si>
    <t xml:space="preserve">Explainer with a simple animation of moon phases, then real stars timelapse.</t>
  </si>
  <si>
    <t xml:space="preserve">New moon</t>
  </si>
  <si>
    <t xml:space="preserve">Stargazing nudge</t>
  </si>
  <si>
    <t xml:space="preserve">الليلة بدون قمر 🌑</t>
  </si>
  <si>
    <t xml:space="preserve">الليلة بدون قمر 🌑
لو تقدر تطلع ساعة برا الرياض بعيد عن الأنوار، ارفع راسك. وصورنا اللي تشوفه وحطه بالرد ✨</t>
  </si>
  <si>
    <t xml:space="preserve">No moon tonight. If you can get an hour outside Riyadh away from the lights, look up. Reply with what you see.</t>
  </si>
  <si>
    <t xml:space="preserve">رصد النجوم</t>
  </si>
  <si>
    <t xml:space="preserve">#رصد_النجوم</t>
  </si>
  <si>
    <t xml:space="preserve">Reply with a photo (UGC)</t>
  </si>
  <si>
    <t xml:space="preserve">Text + one star photo.</t>
  </si>
  <si>
    <t xml:space="preserve">Behind the Curtain</t>
  </si>
  <si>
    <t xml:space="preserve">Evergreen events</t>
  </si>
  <si>
    <t xml:space="preserve">Behind the Curtain #1: an event build in 30 seconds</t>
  </si>
  <si>
    <t xml:space="preserve">Empty hall → full stage in 3 seconds (timelapse hook)</t>
  </si>
  <si>
    <t xml:space="preserve">36 hours in 30 seconds</t>
  </si>
  <si>
    <t xml:space="preserve">٣٦ ساعة في ٣٠ ثانية</t>
  </si>
  <si>
    <t xml:space="preserve">قاعة فاضية… وبعد ٣٦ ساعة صارت ليلة ما تنسى ✨
«خلف الستارة»: كيف تنبني فعالياتنا.</t>
  </si>
  <si>
    <t xml:space="preserve">An empty hall, and 36 hours later a night nobody forgets. 'Behind the Curtain': how our events get built.</t>
  </si>
  <si>
    <t xml:space="preserve">تنظيم فعاليات الرياض, event management Riyadh, تنظيم حفلات</t>
  </si>
  <si>
    <t xml:space="preserve">#خلف_الستارة #تنظيم_فعاليات #فعاليات_الرياض #مادا #MadaEvents</t>
  </si>
  <si>
    <t xml:space="preserve">DM 'EVENT' to plan yours</t>
  </si>
  <si>
    <t xml:space="preserve">Locked-off timelapse of a real build (stage, truss, lights, tables), then a 3-second real-time payoff of lights on. Crew in branded tees. A sound design build-up.</t>
  </si>
  <si>
    <t xml:space="preserve">Needs our own event footage. If no build this month, shoot a small activation or rehearsal.</t>
  </si>
  <si>
    <t xml:space="preserve">Photo carousel 7</t>
  </si>
  <si>
    <t xml:space="preserve">What a weekend in AlUla actually costs</t>
  </si>
  <si>
    <t xml:space="preserve">Slide 1: كم تكلف ويكند بالعلا فعلياً؟ 💸</t>
  </si>
  <si>
    <t xml:space="preserve">AlUla weekend: the real cost</t>
  </si>
  <si>
    <t xml:space="preserve">ويكند العلا: التكلفة الحقيقية</t>
  </si>
  <si>
    <t xml:space="preserve">كم تكلف ويكند بالعلا فعلياً؟ فصلناها لك بند بند 👇
الأسعار تقريبية لشخصين، وتتغير حسب الموسم.</t>
  </si>
  <si>
    <t xml:space="preserve">What does a weekend in AlUla actually cost? Line by line, for two people, approximate and seasonal.</t>
  </si>
  <si>
    <t xml:space="preserve">كم تكلف رحلة العلا, اسعار العلا, AlUla trip cost</t>
  </si>
  <si>
    <t xml:space="preserve">#العلا #ميزانية_السفر #سفر #السعودية #مادا</t>
  </si>
  <si>
    <t xml:space="preserve">Comment 'تفاصيل' and we'll DM the plan</t>
  </si>
  <si>
    <t xml:space="preserve">Photo Mode, one cost line per slide: flights, stay (2 nights), transfers, Hegra, balloon, dinner. Total on the last slide. Clean and transparent, no luxury flexing.</t>
  </si>
  <si>
    <t xml:space="preserve">SALES must fill in real SAR ranges before posting. Keep the tone as transparency, not luxury flexing (GAMR rules, Sep 2025).</t>
  </si>
  <si>
    <t xml:space="preserve">11.11 Singles Day</t>
  </si>
  <si>
    <t xml:space="preserve">11.11 teaser</t>
  </si>
  <si>
    <t xml:space="preserve">بكرة ١١.١١ 👀</t>
  </si>
  <si>
    <t xml:space="preserve">بكرة ١١.١١ 👀
عندنا شي صغير لأول ١١ حجز. فعّل التنبيه.</t>
  </si>
  <si>
    <t xml:space="preserve">Tomorrow is 11.11. Something small for the first 11 bookings. Turn on notifications.</t>
  </si>
  <si>
    <t xml:space="preserve">عروض ١١.١١</t>
  </si>
  <si>
    <t xml:space="preserve">#١١_١١</t>
  </si>
  <si>
    <t xml:space="preserve">Turn on notifications</t>
  </si>
  <si>
    <t xml:space="preserve">OFFER needs management approval (see 11 Nov).</t>
  </si>
  <si>
    <t xml:space="preserve">Hiring skilled crews in KSA: what actually takes time</t>
  </si>
  <si>
    <t xml:space="preserve">The welders were ready in 10 days. The paperwork took the rest.</t>
  </si>
  <si>
    <t xml:space="preserve">Mobilising skilled crews in KSA: where time goes</t>
  </si>
  <si>
    <t xml:space="preserve">Clients often ask why mobilising a skilled crew takes weeks when the people are ready in days.
Where the time goes:
• Work visas and permits through Qiwa
• Medical checks and certification checks
• Iqama issuance and site access
• Housing, transport and safety induction
What shortens it: a clear scope early, documents checked before submission, and one partner who owns every step.
Timelines vary by role and nationality. If you are planning a 2027 mobilisation, start the conversation now.</t>
  </si>
  <si>
    <t xml:space="preserve">manpower supply Saudi Arabia, skilled workers KSA, Qiwa work visa</t>
  </si>
  <si>
    <t xml:space="preserve">#Manpower #SaudiArabia #Workforce #Qiwa</t>
  </si>
  <si>
    <t xml:space="preserve">Message us</t>
  </si>
  <si>
    <t xml:space="preserve">One image: an infographic bar showing days per stage (illustrative, labelled as such).</t>
  </si>
  <si>
    <t xml:space="preserve">Ops to confirm the process steps match our actual workflow.</t>
  </si>
  <si>
    <t xml:space="preserve">11.11 Singles Day / ~1 Jumada II</t>
  </si>
  <si>
    <t xml:space="preserve">11.11: 11 bookings, 11 upgrades</t>
  </si>
  <si>
    <t xml:space="preserve">11.11 · 11 bookings · 11 upgrades</t>
  </si>
  <si>
    <t xml:space="preserve">11.11 · The first 11 bookings get an upgrade on us</t>
  </si>
  <si>
    <t xml:space="preserve">١١.١١ · أول ١١ حجز… الترقية علينا</t>
  </si>
  <si>
    <t xml:space="preserve">١١.١١ ✨
أول ١١ حجز اليوم: ترقية علينا (غرفة أعلى، توصيل خاص، أو تشيك آوت متأخر).
بدون أكواد. بس قل «١١» على الواتساب.</t>
  </si>
  <si>
    <t xml:space="preserve">11.11. The first 11 bookings today get an upgrade on us: a better room, a private transfer or late checkout. No codes. Just say '11' on WhatsApp.</t>
  </si>
  <si>
    <t xml:space="preserve">عروض ١١.١١, عروض سفر</t>
  </si>
  <si>
    <t xml:space="preserve">#عروض_سفر #١١_١١ #مادا #MadaTrips #الرياض</t>
  </si>
  <si>
    <t xml:space="preserve">WhatsApp '11'</t>
  </si>
  <si>
    <t xml:space="preserve">Typographic poster: huge '11.11' in gold on green, a short line, symbol. Story version with a countdown sticker.</t>
  </si>
  <si>
    <t xml:space="preserve">OFFER: management approval + terms (valid today only, subject to availability).</t>
  </si>
  <si>
    <t xml:space="preserve">11.11</t>
  </si>
  <si>
    <t xml:space="preserve">11.11: what an 'upgrade' means</t>
  </si>
  <si>
    <t xml:space="preserve">On-screen: وش يعني «ترقية» عندنا؟ 👇</t>
  </si>
  <si>
    <t xml:space="preserve">What 'upgrade' means at Mada</t>
  </si>
  <si>
    <t xml:space="preserve">وش يعني «ترقية» عندنا</t>
  </si>
  <si>
    <t xml:space="preserve">اليوم بس: أول ١١ حجز ياخذون ترقية ✨ قل «١١» على الواتساب.</t>
  </si>
  <si>
    <t xml:space="preserve">Today only: the first 11 bookings get an upgrade. Say '11' on WhatsApp.</t>
  </si>
  <si>
    <t xml:space="preserve">#١١_١١ #عروض_سفر #سفر #السعودية #مادا</t>
  </si>
  <si>
    <t xml:space="preserve">Three quick reveals: the room view, the private car door, the 'late checkout' sign. Fun, fast.</t>
  </si>
  <si>
    <t xml:space="preserve">OFFER approval.</t>
  </si>
  <si>
    <t xml:space="preserve">11.11 live</t>
  </si>
  <si>
    <t xml:space="preserve">١١.١١ بدأ ✨</t>
  </si>
  <si>
    <t xml:space="preserve">١١.١١ بدأ ✨ أول ١١ حجز اليوم ياخذون ترقية علينا.
قل «١١» على الواتساب ‎+966 56 668 2662</t>
  </si>
  <si>
    <t xml:space="preserve">11.11 is live. The first 11 bookings today get an upgrade. Say '11' on WhatsApp.</t>
  </si>
  <si>
    <t xml:space="preserve">Poster image.</t>
  </si>
  <si>
    <t xml:space="preserve">Post 'all 11 gone' update once claimed (scarcity proof).</t>
  </si>
  <si>
    <t xml:space="preserve">Weekend Radar #2</t>
  </si>
  <si>
    <t xml:space="preserve">Slide 1: Weekend Radar · 12-14 Nov</t>
  </si>
  <si>
    <t xml:space="preserve">Weekend Radar · 12-14 Nov</t>
  </si>
  <si>
    <t xml:space="preserve">رادار الويكند · ١٢–١٤ نوفمبر</t>
  </si>
  <si>
    <t xml:space="preserve">رادار الويكند 📡
• آخر ويكند لمهرجان سماء العلا (لين ١٥ نوفمبر)
• موسم الرياض: سهرة بوليفارد سيتي
• سباقات الخيل بميدان الملك عبدالعزيز
• الأحد ١٥: ذروة شهب الأسد 🌠</t>
  </si>
  <si>
    <t xml:space="preserve">Weekend Radar: the last weekend of AlUla Skies, a night at Boulevard City, racing at King Abdulaziz Racecourse, and the Leonids peak on Sunday 15.</t>
  </si>
  <si>
    <t xml:space="preserve">فعاليات الرياض هالويكند, Riyadh this weekend</t>
  </si>
  <si>
    <t xml:space="preserve">Save + share</t>
  </si>
  <si>
    <t xml:space="preserve">Weekend Radar template.</t>
  </si>
  <si>
    <t xml:space="preserve">Europe in Winter</t>
  </si>
  <si>
    <t xml:space="preserve">Vienna Schönbrunn market from 6 Nov · Rathausplatz ~13 Nov</t>
  </si>
  <si>
    <t xml:space="preserve">Vienna in winter: 3 days</t>
  </si>
  <si>
    <t xml:space="preserve">Snow falling on a Vienna market + text: 'Europe's winter markets open this week'</t>
  </si>
  <si>
    <t xml:space="preserve">Vienna in winter · 3 days</t>
  </si>
  <si>
    <t xml:space="preserve">فيينا في الشتاء · ٣ أيام</t>
  </si>
  <si>
    <t xml:space="preserve">أسواق الشتاء في أوروبا بدأت تفتح ❄️ أولها فيينا.
٣ أيام: القصور، المقاهي القديمة، والأسواق المضيئة بالليل.
سلسلة «شتاء أوروبا» تبدأ اليوم.</t>
  </si>
  <si>
    <t xml:space="preserve">Europe's winter markets are opening, starting with Vienna. 3 days: palaces, old cafés and lit-up markets at night. Our 'Europe in Winter' series starts today.</t>
  </si>
  <si>
    <t xml:space="preserve">فيينا في الشتاء, سفر أوروبا شتاء, Vienna winter trip</t>
  </si>
  <si>
    <t xml:space="preserve">#فيينا #شتاء_أوروبا #سفر #النمسا #مادا</t>
  </si>
  <si>
    <t xml:space="preserve">Save for your winter trip</t>
  </si>
  <si>
    <t xml:space="preserve">Itinerary reel: Day 1/2/3 chapters with on-screen times. Halal food tip + a prayer-friendly note (useful for the audience). Licensed or original footage only.</t>
  </si>
  <si>
    <t xml:space="preserve">Use licensed stock or creator footage under a Collab post, never reposts.</t>
  </si>
  <si>
    <t xml:space="preserve">Europe winter markets</t>
  </si>
  <si>
    <t xml:space="preserve">Europe this winter: 5 cities ranked for families</t>
  </si>
  <si>
    <t xml:space="preserve">On-screen: رتبنا ٥ مدن أوروبية للشتاء مع العائلة 👨‍👩‍👧</t>
  </si>
  <si>
    <t xml:space="preserve">5 European winter cities, ranked for families</t>
  </si>
  <si>
    <t xml:space="preserve">٥ مدن أوروبية للشتاء مع العائلة</t>
  </si>
  <si>
    <t xml:space="preserve">رتبنا لك ٥ مدن أوروبية للشتاء مع العائلة 🇪🇺❄️
توافقنا ولا لا؟ 👇</t>
  </si>
  <si>
    <t xml:space="preserve">We ranked 5 European cities for a family winter trip. Agree or not?</t>
  </si>
  <si>
    <t xml:space="preserve">سفر اوروبا شتاء, افضل مدن اوروبا للعائلات, Europe winter family</t>
  </si>
  <si>
    <t xml:space="preserve">#شتاء_أوروبا #سفر_عائلي #أوروبا #سفر #مادا</t>
  </si>
  <si>
    <t xml:space="preserve">Comment your ranking</t>
  </si>
  <si>
    <t xml:space="preserve">Tier-list format (a trending structure): Vienna, Prague, Strasbourg, London, Salzburg, with criteria: walkability, halal food, flight time from Riyadh, kid-friendliness. Green-screen.</t>
  </si>
  <si>
    <t xml:space="preserve">Video reply 30s</t>
  </si>
  <si>
    <t xml:space="preserve">Week 1 comments</t>
  </si>
  <si>
    <t xml:space="preserve">Reply: how long does a Schengen visa take?</t>
  </si>
  <si>
    <t xml:space="preserve">Reply-to-comment sticker on screen</t>
  </si>
  <si>
    <t xml:space="preserve">How long does Schengen take?</t>
  </si>
  <si>
    <t xml:space="preserve">كم ياخذ فيزا شنغن؟</t>
  </si>
  <si>
    <t xml:space="preserve">رد على سؤالكم: كم ياخذ فيزا شنغن؟ ⏳</t>
  </si>
  <si>
    <t xml:space="preserve">Answering your question: how long does a Schengen visa take?</t>
  </si>
  <si>
    <t xml:space="preserve">كم ياخذ فيزا شنغن, مدة تأشيرة شنغن</t>
  </si>
  <si>
    <t xml:space="preserve">#تأشيرة_شنغن #فيزا #سفر #مادا #السعودية</t>
  </si>
  <si>
    <t xml:space="preserve">Ask your next question</t>
  </si>
  <si>
    <t xml:space="preserve">Use TikTok's 'reply with video' on a real comment from the 2 Nov post. Concierge answers in 30s: up to 15 days standard after the appointment, longer in peak season. Book appointments early.</t>
  </si>
  <si>
    <t xml:space="preserve">Pick a real question. If none, use one from DMs (anonymised).</t>
  </si>
  <si>
    <t xml:space="preserve">Thread 6</t>
  </si>
  <si>
    <t xml:space="preserve">Europe winter</t>
  </si>
  <si>
    <t xml:space="preserve">Europe's winter markets 2026: opening dates</t>
  </si>
  <si>
    <t xml:space="preserve">أسواق الشتاء في أوروبا ٢٠٢٦: متى تفتح؟ 🧵❄️</t>
  </si>
  <si>
    <t xml:space="preserve">١/ أسواق الشتاء في أوروبا ٢٠٢٦: متى تفتح؟ 🧵
٢/ فيينا (قصر شونبرون): من ٦ نوفمبر
٣/ لندن (Winter Wonderland هايد بارك): من ١٩ نوفمبر
٤/ ستراسبورغ: من ٢٦ نوفمبر
٥/ براغ: من آخر نوفمبر
٦/ تبي برنامج كامل مع الفيزا والفنادق؟ كلمنا.</t>
  </si>
  <si>
    <t xml:space="preserve">1/ Europe's winter markets 2026, opening dates. 2/ Vienna (Schönbrunn): from 6 Nov. 3/ London (Hyde Park Winter Wonderland): from 19 Nov. 4/ Strasbourg: from 26 Nov. 5/ Prague: from late Nov. 6/ Want a full plan with visa and hotels? Talk to us.</t>
  </si>
  <si>
    <t xml:space="preserve">اسواق اوروبا الشتوية</t>
  </si>
  <si>
    <t xml:space="preserve">#شتاء_أوروبا</t>
  </si>
  <si>
    <t xml:space="preserve">Bookmark / DM</t>
  </si>
  <si>
    <t xml:space="preserve">Image on tweet 1.</t>
  </si>
  <si>
    <t xml:space="preserve">Double-check dates against official market sites.</t>
  </si>
  <si>
    <t xml:space="preserve">Post (founder voice)</t>
  </si>
  <si>
    <t xml:space="preserve">Why we answer at 3 a.m.</t>
  </si>
  <si>
    <t xml:space="preserve">The most important call we took last month came at 3:12 a.m.</t>
  </si>
  <si>
    <t xml:space="preserve">The most important call we took last month came at 3:12 a.m.
A client's connection was cancelled at an airport six time zones away. The airline desk was closed. He had a meeting in Riyadh at 10.
By 3:40 he had a new route, a lounge and a car waiting at the other end.
We don't think of that as heroics. In travel, the moments that matter rarely happen during office hours. So we built a team that doesn't keep office hours.
That's the whole idea behind Mada: one call, at any hour, and everything moves.</t>
  </si>
  <si>
    <t xml:space="preserve">corporate travel management, travel concierge Riyadh</t>
  </si>
  <si>
    <t xml:space="preserve">#CorporateTravel #CustomerExperience #Riyadh</t>
  </si>
  <si>
    <t xml:space="preserve">Follow the page</t>
  </si>
  <si>
    <t xml:space="preserve">Post from the founder's profile; the company page reshares. A plain-text post with one candid team photo.</t>
  </si>
  <si>
    <t xml:space="preserve">Use a real (anonymised) case.</t>
  </si>
  <si>
    <t xml:space="preserve">World Kindness Day (13 Nov)</t>
  </si>
  <si>
    <t xml:space="preserve">Small things we do that nobody asks for</t>
  </si>
  <si>
    <t xml:space="preserve">On-screen: Things we do that nobody asks for 🤍</t>
  </si>
  <si>
    <t xml:space="preserve">Small things nobody asks for</t>
  </si>
  <si>
    <t xml:space="preserve">أشياء صغيرة محد يطلبها</t>
  </si>
  <si>
    <t xml:space="preserve">اليوم العالمي للطف 🤍
أشياء صغيرة نسويها بدون ما أحد يطلبها:
كرسي متحرك جاهز لأمك عند البوابة، كرت بأوقات الصلاة في غرفتك، شاحن بالسيارة، وكلمة ترحيب بخط اليد.</t>
  </si>
  <si>
    <t xml:space="preserve">World Kindness Day. Small things we do without being asked: a wheelchair waiting for your mother at the gate, a prayer-times card in your room, a charger in the car, a handwritten welcome note.</t>
  </si>
  <si>
    <t xml:space="preserve">خدمة عملاء, ضيافة, travel concierge</t>
  </si>
  <si>
    <t xml:space="preserve">#اليوم_العالمي_للطف #مادا #ضيافة #MadaTrips #سفر</t>
  </si>
  <si>
    <t xml:space="preserve">Share with someone who deserves this treatment</t>
  </si>
  <si>
    <t xml:space="preserve">Soft, slow close-ups of each gesture with handwritten-style labels. Piano or oud, gentle. Ends on the 'Horizon Card': a calligraphy welcome card that becomes our signature.</t>
  </si>
  <si>
    <t xml:space="preserve">Launches the 'Horizon Card' signature gesture. Ops must actually do it from now on.</t>
  </si>
  <si>
    <t xml:space="preserve">Video 25s</t>
  </si>
  <si>
    <t xml:space="preserve">World Kindness Day</t>
  </si>
  <si>
    <t xml:space="preserve">Things we do without being asked</t>
  </si>
  <si>
    <t xml:space="preserve">On-screen: أشياء نسويها لعملاءنا… بدون ما يطلبونها 🤍</t>
  </si>
  <si>
    <t xml:space="preserve">نسويها بدون ما تطلبها</t>
  </si>
  <si>
    <t xml:space="preserve">أشياء صغيرة… بس تفرق 🤍 وش أكثر شي لطيف صار لك بسفرة؟</t>
  </si>
  <si>
    <t xml:space="preserve">Small things that make a difference. What's the kindest thing that happened to you on a trip?</t>
  </si>
  <si>
    <t xml:space="preserve">خدمة عملاء سفر</t>
  </si>
  <si>
    <t xml:space="preserve">#اليوم_العالمي_للطف #سفر #مادا #السعودية #لطف</t>
  </si>
  <si>
    <t xml:space="preserve">Comment your story</t>
  </si>
  <si>
    <t xml:space="preserve">List format with a trending soft sound, one gesture per 4s.</t>
  </si>
  <si>
    <t xml:space="preserve">17:30</t>
  </si>
  <si>
    <t xml:space="preserve">World Kindness Day question</t>
  </si>
  <si>
    <t xml:space="preserve">أحلى موقف لطيف صار لك من غريب وأنت مسافر؟</t>
  </si>
  <si>
    <t xml:space="preserve">اليوم العالمي للطف 🤍
وش أحلى موقف لطيف صار لك من شخص غريب وأنت مسافر؟</t>
  </si>
  <si>
    <t xml:space="preserve">World Kindness Day. What's the kindest thing a stranger did for you while travelling?</t>
  </si>
  <si>
    <t xml:space="preserve">#اليوم_العالمي_للطف</t>
  </si>
  <si>
    <t xml:space="preserve">Text only. Quote-post the best replies through the day.</t>
  </si>
  <si>
    <t xml:space="preserve">Post after Asr, not during Friday prayer.</t>
  </si>
  <si>
    <t xml:space="preserve">School autumn break 20-28 Nov</t>
  </si>
  <si>
    <t xml:space="preserve">Autumn break: 6 short trips from Riyadh</t>
  </si>
  <si>
    <t xml:space="preserve">Slide 1: Autumn break starts 20 Nov. 6 trips that don't need a long flight.</t>
  </si>
  <si>
    <t xml:space="preserve">Autumn break · 6 short trips</t>
  </si>
  <si>
    <t xml:space="preserve">إجازة الخريف · ٦ رحلات قريبة</t>
  </si>
  <si>
    <t xml:space="preserve">إجازة الخريف تبدأ ٢٠ نوفمبر 🍂
٦ رحلات قريبة من الرياض:
العلا · أبها والسودة · جدة · مسقط · باكو · تبليسي
احفظ وأرسله لأهلك 📌</t>
  </si>
  <si>
    <t xml:space="preserve">The autumn break starts 20 November. 6 short trips from Riyadh: AlUla, Abha &amp; Soudah, Jeddah, Muscat, Baku, Tbilisi. Save and send to your family.</t>
  </si>
  <si>
    <t xml:space="preserve">اجازة الخريف, وين نسافر في الاجازة, رحلات قريبة من الرياض</t>
  </si>
  <si>
    <t xml:space="preserve">#إجازة_الخريف #سفر_عائلي #العلا #أبها #مادا</t>
  </si>
  <si>
    <t xml:space="preserve">Save + send to the family group</t>
  </si>
  <si>
    <t xml:space="preserve">One destination per slide: real photo, flight/drive time from Riyadh, 'best for' tag (families, couples, nature). Last slide: 'We still have dates. WhatsApp'.</t>
  </si>
  <si>
    <t xml:space="preserve">Ops to confirm availability before posting.</t>
  </si>
  <si>
    <t xml:space="preserve">Video 35s</t>
  </si>
  <si>
    <t xml:space="preserve">Autumn break countdown</t>
  </si>
  <si>
    <t xml:space="preserve">Autumn break in 6 days: 5 nearby escapes</t>
  </si>
  <si>
    <t xml:space="preserve">On-screen: باقي ٦ أيام على الإجازة ومافي خطة؟ 😅</t>
  </si>
  <si>
    <t xml:space="preserve">6 days to the break. No plan?</t>
  </si>
  <si>
    <t xml:space="preserve">باقي ٦ أيام ومافي خطة؟</t>
  </si>
  <si>
    <t xml:space="preserve">باقي ٦ أيام على إجازة الخريف ومافي خطة؟ 😅 هذي ٥ أماكن قريبة تلحق تحجزها 👇</t>
  </si>
  <si>
    <t xml:space="preserve">6 days to the autumn break and no plan? Here are 5 nearby places you can still book.</t>
  </si>
  <si>
    <t xml:space="preserve">اجازة الخريف ١٤٤٨, وين اسافر في الاجازة القصيرة</t>
  </si>
  <si>
    <t xml:space="preserve">#إجازة_الخريف #سفر #السعودية #وين_نسافر #مادا</t>
  </si>
  <si>
    <t xml:space="preserve">Comment 'خطة' for a plan in DM</t>
  </si>
  <si>
    <t xml:space="preserve">Relatable opener (a panicked family group chat), then a fast 5-destination list with flight times.</t>
  </si>
  <si>
    <t xml:space="preserve">Autumn break</t>
  </si>
  <si>
    <t xml:space="preserve">باقي ٦ أيام على إجازة الخريف 🍂</t>
  </si>
  <si>
    <t xml:space="preserve">باقي ٦ أيام على إجازة الخريف 🍂
وين ناوين؟</t>
  </si>
  <si>
    <t xml:space="preserve">6 days to the autumn break. Where are you heading?</t>
  </si>
  <si>
    <t xml:space="preserve">اجازة الخريف</t>
  </si>
  <si>
    <t xml:space="preserve">#إجازة_الخريف</t>
  </si>
  <si>
    <t xml:space="preserve">Leonids peak 15 Nov · AlUla Skies closes</t>
  </si>
  <si>
    <t xml:space="preserve">Tonight: the Leonids</t>
  </si>
  <si>
    <t xml:space="preserve">A meteor streaks across the frame in second 1</t>
  </si>
  <si>
    <t xml:space="preserve">Tonight: Leonids peak</t>
  </si>
  <si>
    <t xml:space="preserve">الليلة: ذروة شهب الأسد</t>
  </si>
  <si>
    <t xml:space="preserve">الليلة ذروة شهب الأسد 🌠 لين ٢٠ شهاب بالساعة في السماء الصافية.
اطلع بعيد عن أنوار المدينة، وعطي عيونك ٢٠ دقيقة تتعود.</t>
  </si>
  <si>
    <t xml:space="preserve">Tonight the Leonid meteor shower peaks, up to about 20 meteors an hour under clear skies. Get away from city lights and give your eyes 20 minutes.</t>
  </si>
  <si>
    <t xml:space="preserve">شهب الاسد ٢٠٢٦, رصد الشهب الرياض, Leonids 2026</t>
  </si>
  <si>
    <t xml:space="preserve">#شهب_الأسد #رصد_النجوم #الرياض #السعودية #مادا</t>
  </si>
  <si>
    <t xml:space="preserve">Share with your stargazing friend</t>
  </si>
  <si>
    <t xml:space="preserve">Night-sky timelapse (shot on 9-12 Nov) with a red-light campsite. On-screen tips. Quiet ambient sound.</t>
  </si>
  <si>
    <t xml:space="preserve">Shoot the timelapse in the moonless window earlier in the week.</t>
  </si>
  <si>
    <t xml:space="preserve">Leonids 15 Nov</t>
  </si>
  <si>
    <t xml:space="preserve">Where to see the meteors near Riyadh</t>
  </si>
  <si>
    <t xml:space="preserve">On-screen: الليلة الشهب 🌠 وين تشوفها قرب الرياض؟</t>
  </si>
  <si>
    <t xml:space="preserve">Meteors tonight. Where near Riyadh?</t>
  </si>
  <si>
    <t xml:space="preserve">الشهب الليلة… وين قرب الرياض؟</t>
  </si>
  <si>
    <t xml:space="preserve">الليلة ذروة شهب الأسد 🌠 وين تشوفها قرب الرياض؟ 👇</t>
  </si>
  <si>
    <t xml:space="preserve">The Leonids peak tonight. Where to see them near Riyadh.</t>
  </si>
  <si>
    <t xml:space="preserve">وين اشوف الشهب الرياض, شهب الاسد</t>
  </si>
  <si>
    <t xml:space="preserve">#شهب_الأسد #الرياض #رصد_النجوم #كشتة #مادا</t>
  </si>
  <si>
    <t xml:space="preserve">Comment if you're going out</t>
  </si>
  <si>
    <t xml:space="preserve">Map pop-ups: Edge of the World direction, the desert north of the city, the Thumamah area. Note: go with a group and tell someone your route.</t>
  </si>
  <si>
    <t xml:space="preserve">Safety line on screen.</t>
  </si>
  <si>
    <t xml:space="preserve">Leonids</t>
  </si>
  <si>
    <t xml:space="preserve">Leonids alert</t>
  </si>
  <si>
    <t xml:space="preserve">الليلة ذروة شهب الأسد 🌠</t>
  </si>
  <si>
    <t xml:space="preserve">الليلة ذروة شهب الأسد 🌠
أفضل وقت بعد منتصف الليل، بعيد عن أنوار المدينة. شاركونا صوركم بالرد.</t>
  </si>
  <si>
    <t xml:space="preserve">The Leonids peak tonight. Best after midnight, away from city lights. Share your photos in the replies.</t>
  </si>
  <si>
    <t xml:space="preserve">شهب الاسد</t>
  </si>
  <si>
    <t xml:space="preserve">#شهب_الأسد</t>
  </si>
  <si>
    <t xml:space="preserve">Reply with photos</t>
  </si>
  <si>
    <t xml:space="preserve">Text + one photo.</t>
  </si>
  <si>
    <t xml:space="preserve">Document 6 pages</t>
  </si>
  <si>
    <t xml:space="preserve">Cityscape Global 16-19 Nov</t>
  </si>
  <si>
    <t xml:space="preserve">Cityscape Global week: visitor logistics</t>
  </si>
  <si>
    <t xml:space="preserve">Page 1: Flying in for Cityscape Global (16-19 Nov)? Read this first.</t>
  </si>
  <si>
    <t xml:space="preserve">Cityscape Global 2026: the visitor's brief</t>
  </si>
  <si>
    <t xml:space="preserve">Cityscape Global opens tomorrow at the Riyadh Exhibition &amp; Convention Centre, Malham (16-19 Nov, 12:00-22:00).
If your team is flying in, our brief:
• Malham is a drive from central Riyadh, so plan transfers by session, not by hotel
• Stay where your evening meetings are
• Doors open at noon, so use mornings for meetings
• Visitors must be 18+
• Book return transfers for 22:00, when everyone leaves at once
Need rooms, cars or a meeting space during the show? We still have capacity.</t>
  </si>
  <si>
    <t xml:space="preserve">Cityscape Global 2026, Riyadh exhibition travel, corporate transfers Riyadh</t>
  </si>
  <si>
    <t xml:space="preserve">#CityscapeGlobal #Riyadh #RealEstate #BusinessTravel</t>
  </si>
  <si>
    <t xml:space="preserve">DM for rooms or transfers</t>
  </si>
  <si>
    <t xml:space="preserve">Short document: map graphic, timeline, tips. Brand colours.</t>
  </si>
  <si>
    <t xml:space="preserve">Ops to confirm capacity before 'we still have capacity'.</t>
  </si>
  <si>
    <t xml:space="preserve">International Day for Tolerance (16 Nov) · Cityscape visitors</t>
  </si>
  <si>
    <t xml:space="preserve">Hosting guests from abroad: a Saudi hospitality guide</t>
  </si>
  <si>
    <t xml:space="preserve">Slide 1: Guests coming to Saudi? 7 things they'll love to know.</t>
  </si>
  <si>
    <t xml:space="preserve">Hosting guests in Saudi: 7 things to tell them</t>
  </si>
  <si>
    <t xml:space="preserve">ضيوفك جايين السعودية؟ ٧ أشياء قلها لهم</t>
  </si>
  <si>
    <t xml:space="preserve">اليوم الدولي للتسامح 🤝
جايك ضيوف من برا؟ أرسل لهم هذا الدليل: القهوة السعودية، اللبس، أوقات الصلاة، الجمعة، البقشيش، الترحيب، والأكل.
(The guide is in English for your guests 👇)</t>
  </si>
  <si>
    <t xml:space="preserve">International Day for Tolerance. Guests coming from abroad? Send them this: Saudi coffee, what to wear, prayer times, Fridays, tipping, greetings and food.</t>
  </si>
  <si>
    <t xml:space="preserve">Saudi etiquette for visitors, Saudi Arabia travel tips, ضيافة سعودية</t>
  </si>
  <si>
    <t xml:space="preserve">#SaudiArabia #VisitSaudi #ضيافة #مادا #Riyadh</t>
  </si>
  <si>
    <t xml:space="preserve">Send to your guests</t>
  </si>
  <si>
    <t xml:space="preserve">Bilingual, English-led slides, so Saudi followers can forward them to foreign guests. Warm illustration style: a dallah, a finjan, a prayer-time clock.</t>
  </si>
  <si>
    <t xml:space="preserve">Video 30s (English)</t>
  </si>
  <si>
    <t xml:space="preserve">Tolerance Day · inbound visitors</t>
  </si>
  <si>
    <t xml:space="preserve">Saudi coffee etiquette in 30 seconds</t>
  </si>
  <si>
    <t xml:space="preserve">On-screen: Never do THIS with Saudi coffee ☕ (shake gesture)</t>
  </si>
  <si>
    <t xml:space="preserve">Saudi coffee: the shake rule</t>
  </si>
  <si>
    <t xml:space="preserve">القهوة السعودية: سالفة الهز</t>
  </si>
  <si>
    <t xml:space="preserve">Saudi coffee etiquette in 30 seconds ☕ Did you know the shake? / تعرف سالفة هز الفنجال؟</t>
  </si>
  <si>
    <t xml:space="preserve">Saudi coffee etiquette in 30 seconds. Did you know about the shake?</t>
  </si>
  <si>
    <t xml:space="preserve">Saudi coffee etiquette, Saudi culture, القهوة السعودية</t>
  </si>
  <si>
    <t xml:space="preserve">#SaudiCoffee #SaudiArabia #Riyadh #القهوة_السعودية #مادا</t>
  </si>
  <si>
    <t xml:space="preserve">Follow for more Saudi tips</t>
  </si>
  <si>
    <t xml:space="preserve">English-led TikTok for expats and visitors (one a week). The host pours: right hand, small amounts, shake the cup when you're done. A playful tone.</t>
  </si>
  <si>
    <t xml:space="preserve">Cityscape Global</t>
  </si>
  <si>
    <t xml:space="preserve">Cityscape Global: visitor tips</t>
  </si>
  <si>
    <t xml:space="preserve">رايح سيتي سكيب جلوبال؟ ٤ نصايح 🧵</t>
  </si>
  <si>
    <t xml:space="preserve">١/ رايح سيتي سكيب جلوبال (١٦–١٩ نوفمبر، ملهم)؟ ٤ نصايح 🧵
٢/ الأبواب تفتح ١٢ الظهر، فخل الصباح لاجتماعاتك.
٣/ المعرض بعيد عن وسط الرياض، فاحسب وقت الطريق.
٤/ الكل يطلع ١٠ بالليل، فاحجز رجعتك من بدري. نقدر نرتب لك السيارة.</t>
  </si>
  <si>
    <t xml:space="preserve">1/ Going to Cityscape Global (16-19 Nov, Malham)? 4 tips. 2/ Doors open at noon, so keep mornings for meetings. 3/ It's a drive from central Riyadh. 4/ Everyone leaves at 10pm, so book your ride home early. We can arrange the car.</t>
  </si>
  <si>
    <t xml:space="preserve">سيتي سكيب ٢٠٢٦</t>
  </si>
  <si>
    <t xml:space="preserve">#سيتي_سكيب</t>
  </si>
  <si>
    <t xml:space="preserve">DM</t>
  </si>
  <si>
    <t xml:space="preserve">One Call #2: a family of 7, 48 hours to plan</t>
  </si>
  <si>
    <t xml:space="preserve">Voice note: 'نبي نسافر الإجازة… سبعة أشخاص… وما حجزنا شي' 😅</t>
  </si>
  <si>
    <t xml:space="preserve">7 people. 48 hours. Done.</t>
  </si>
  <si>
    <t xml:space="preserve">٧ أشخاص. ٤٨ ساعة. تم.</t>
  </si>
  <si>
    <t xml:space="preserve">عائلة من ٧ أشخاص، باقي ٤٨ ساعة على الإجازة، وما حجزوا شي 😅
هذي كيف خلصناها 👇 «مكالمة وحدة» الحلقة ٢</t>
  </si>
  <si>
    <t xml:space="preserve">A family of 7, 48 hours to the break, nothing booked. Here's how we did it. 'One Call', episode 2.</t>
  </si>
  <si>
    <t xml:space="preserve">حجز رحلة عائلية, باقات عائلية, family trip planning</t>
  </si>
  <si>
    <t xml:space="preserve">#مكالمة_وحدة #إجازة_الخريف #سفر_عائلي #مادا #MadaTrips</t>
  </si>
  <si>
    <t xml:space="preserve">Comment your request for episode 3</t>
  </si>
  <si>
    <t xml:space="preserve">Same split-screen format as #1, with a checklist ticking on screen: 2 rooms connecting, child seats in the car, aisle seats together, halal-friendly restaurants. No children's faces.</t>
  </si>
  <si>
    <t xml:space="preserve">No children on camera (GAMR guidance). Show hands, luggage, backs.</t>
  </si>
  <si>
    <t xml:space="preserve">Photo carousel 8</t>
  </si>
  <si>
    <t xml:space="preserve">Autumn-break packing list for kids</t>
  </si>
  <si>
    <t xml:space="preserve">Slide 1: شنطة الأطفال للإجازة: لا تنسى رقم ٦ 👀</t>
  </si>
  <si>
    <t xml:space="preserve">Kids' travel bag: don't forget #6</t>
  </si>
  <si>
    <t xml:space="preserve">شنطة الأطفال: لا تنسى رقم ٦</t>
  </si>
  <si>
    <t xml:space="preserve">شنطة الأطفال للإجازة 🧳 لا تنسى رقم ٦ 👀 احفظها.</t>
  </si>
  <si>
    <t xml:space="preserve">Kids' bag for the break. Don't forget number 6. Save it.</t>
  </si>
  <si>
    <t xml:space="preserve">شنطة السفر للاطفال, قائمة السفر مع الاطفال</t>
  </si>
  <si>
    <t xml:space="preserve">#سفر_مع_الأطفال #إجازة_الخريف #شنطة_السفر #سفر #مادا</t>
  </si>
  <si>
    <t xml:space="preserve">Photo Mode checklist, flat-lay photos, one item per slide. #6 = a copy of the passports and the kids' birth certificates on your phone.</t>
  </si>
  <si>
    <t xml:space="preserve">Autumn break: where?</t>
  </si>
  <si>
    <t xml:space="preserve">إجازة الخريف وين؟</t>
  </si>
  <si>
    <t xml:space="preserve">إجازة الخريف وين؟ 🍂</t>
  </si>
  <si>
    <t xml:space="preserve">Poll: 🇸🇦 داخل المملكة / 🌴 خليجي / ✈️ أبعد / 🏠 البيت وموسم الرياض</t>
  </si>
  <si>
    <t xml:space="preserve">Field Notes #2: why delegates remember logistics, not keynotes</t>
  </si>
  <si>
    <t xml:space="preserve">Page 1: Ask a delegate about your summit a month later. They'll describe the airport.</t>
  </si>
  <si>
    <t xml:space="preserve">Delegates remember the airport</t>
  </si>
  <si>
    <t xml:space="preserve">Field Notes #2.
Ask a delegate about your summit a month later. They rarely quote the keynote. They describe the airport, the car, the room and whether anyone knew their name.
That's why we plan events and travel as one plan:
• Arrival waves timed to the agenda
• Hotel check-in waiting at registration
• One WhatsApp line for every guest
• A host team that sees every status live
The event starts at the gate.</t>
  </si>
  <si>
    <t xml:space="preserve">event and travel management, delegate experience, MICE Saudi</t>
  </si>
  <si>
    <t xml:space="preserve">#FieldNotes #EventProfs #MICE #Riyadh</t>
  </si>
  <si>
    <t xml:space="preserve">Comment / share with your events lead</t>
  </si>
  <si>
    <t xml:space="preserve">PDF: a guest journey map across pages (gate → car → hotel → venue → home).</t>
  </si>
  <si>
    <t xml:space="preserve">Schengen document checklist (save-worthy)</t>
  </si>
  <si>
    <t xml:space="preserve">Save this before your appointment.</t>
  </si>
  <si>
    <t xml:space="preserve">Schengen checklist: 9 documents</t>
  </si>
  <si>
    <t xml:space="preserve">شنغن: ٩ أوراق لا تنساها</t>
  </si>
  <si>
    <t xml:space="preserve">قبل موعد الفيزا: ٩ أوراق لا تنساها 📌
احفظ المنشور وارجع له يوم الموعد.</t>
  </si>
  <si>
    <t xml:space="preserve">Before your visa appointment: 9 documents not to forget. Save this and come back to it on the day.</t>
  </si>
  <si>
    <t xml:space="preserve">اوراق فيزا شنغن, متطلبات تأشيرة شنغن, Schengen documents</t>
  </si>
  <si>
    <t xml:space="preserve">#تأشيرة_شنغن #فيزا #أوروبا #سفر #مادا</t>
  </si>
  <si>
    <t xml:space="preserve">Clean checklist poster, 9 lines with tick boxes, AR main + small EN. Designed to be screenshotted.</t>
  </si>
  <si>
    <t xml:space="preserve">Requirements vary by embassy, so keep it general and say 'check your embassy's list'.</t>
  </si>
  <si>
    <t xml:space="preserve">US visa: book your interview early</t>
  </si>
  <si>
    <t xml:space="preserve">On-screen + VO: مسافر أمريكا ٢٠٢٧؟ احجز موعدك الحين ⏳</t>
  </si>
  <si>
    <t xml:space="preserve">US visa: book the interview now</t>
  </si>
  <si>
    <t xml:space="preserve">فيزا أمريكا: احجز المقابلة الحين</t>
  </si>
  <si>
    <t xml:space="preserve">مسافر أمريكا السنة الجاية؟ ليش لازم تحجز موعد المقابلة من الحين ⏳👇</t>
  </si>
  <si>
    <t xml:space="preserve">Travelling to the US next year? Why you should book your interview now.</t>
  </si>
  <si>
    <t xml:space="preserve">فيزا امريكا, موعد السفارة الامريكية, US visa Saudi</t>
  </si>
  <si>
    <t xml:space="preserve">#فيزا_أمريكا #أمريكا #تأشيرة #سفر #مادا</t>
  </si>
  <si>
    <t xml:space="preserve">Concierge explains: most interview waivers ended in Sep 2025, so more people need an in-person interview and wait times vary. A visa integrity fee has applied since Oct 2025 (amount on screen as announced). Book early.</t>
  </si>
  <si>
    <t xml:space="preserve">Verify on the US Embassy Riyadh site; describe the fee as 'announced', with the amount as published.</t>
  </si>
  <si>
    <t xml:space="preserve">Lufthansa's planned return (18 Nov)</t>
  </si>
  <si>
    <t xml:space="preserve">Routes update (conditional)</t>
  </si>
  <si>
    <t xml:space="preserve">تحديث الرحلات الدولية من الرياض ✈️</t>
  </si>
  <si>
    <t xml:space="preserve">تحديث: شركات طيران أوروبية تعيد جدولة رحلاتها للرياض هالشهر.
إذا عندك حجز تأثر أو تبي بدائل، فريقنا يتابع التحديثات أول بأول. كلمنا.</t>
  </si>
  <si>
    <t xml:space="preserve">Update: European airlines are rescheduling their Riyadh services this month. If your booking was affected or you need alternatives, our team tracks updates daily.</t>
  </si>
  <si>
    <t xml:space="preserve">تحديثات الطيران</t>
  </si>
  <si>
    <t xml:space="preserve">Text only, factual.</t>
  </si>
  <si>
    <t xml:space="preserve">SENSITIVITY: only post confirmed facts from the airline itself. Skip if nothing is confirmed.</t>
  </si>
  <si>
    <t xml:space="preserve">School break starts 20 Nov</t>
  </si>
  <si>
    <t xml:space="preserve">Weekend Radar #3: break edition</t>
  </si>
  <si>
    <t xml:space="preserve">Slide 1: Weekend Radar · Break edition</t>
  </si>
  <si>
    <t xml:space="preserve">Weekend Radar · Break edition</t>
  </si>
  <si>
    <t xml:space="preserve">رادار الويكند · نسخة الإجازة</t>
  </si>
  <si>
    <t xml:space="preserve">رادار الويكند: نسخة الإجازة 🍂
• موسم الرياض للعائلة: ونستر غاردن وبوليفارد وورلد
• الكشتة: الجو صار مناسب
• مسقط: اليوم الوطني العماني ٢٠ نوفمبر
• لندن: Winter Wonderland يفتح اليوم</t>
  </si>
  <si>
    <t xml:space="preserve">Weekend Radar, break edition: Riyadh Season for families, desert camping weather is here, Oman National Day in Muscat, and London's Winter Wonderland opens today.</t>
  </si>
  <si>
    <t xml:space="preserve">فعاليات الاجازة, وش نسوي في الاجازة</t>
  </si>
  <si>
    <t xml:space="preserve">#رادار_الويكند #إجازة_الخريف #موسم_الرياض #الرياض #مادا</t>
  </si>
  <si>
    <t xml:space="preserve">Weekend Radar template, autumn tint.</t>
  </si>
  <si>
    <t xml:space="preserve">Winter Wonderland opens 19 Nov</t>
  </si>
  <si>
    <t xml:space="preserve">London in winter: ETA + Winter Wonderland + 4 more</t>
  </si>
  <si>
    <t xml:space="preserve">Text over a London skyline: 'London in winter, done right'</t>
  </si>
  <si>
    <t xml:space="preserve">London in winter · done right</t>
  </si>
  <si>
    <t xml:space="preserve">لندن في الشتاء · صح</t>
  </si>
  <si>
    <t xml:space="preserve">لندن في الشتاء ❄️ Winter Wonderland فتح اليوم.
٦ أشياء نسويها لعملاءنا هناك، وأولها: الـETA قبل الحجز.</t>
  </si>
  <si>
    <t xml:space="preserve">London in winter. Winter Wonderland opens today. 6 things we arrange for our clients there, starting with the ETA before booking.</t>
  </si>
  <si>
    <t xml:space="preserve">لندن في الشتاء, Winter Wonderland London, سفر لندن</t>
  </si>
  <si>
    <t xml:space="preserve">#لندن #شتاء_أوروبا #بريطانيا #سفر #مادا</t>
  </si>
  <si>
    <t xml:space="preserve">List reel: ETA, Hyde Park Winter Wonderland, a West End matinee, a halal afternoon tea, a Harrods window walk, day trip to the Cotswolds. Collab with a London-based Saudi creator if possible.</t>
  </si>
  <si>
    <t xml:space="preserve">Collab creator must hold a Mawthooq licence if paid.</t>
  </si>
  <si>
    <t xml:space="preserve">Last school/work day before the break</t>
  </si>
  <si>
    <t xml:space="preserve">Last workday before the break</t>
  </si>
  <si>
    <t xml:space="preserve">On-screen: آخر يوم دوام قبل الإجازة 😮‍💨</t>
  </si>
  <si>
    <t xml:space="preserve">Last day before the break</t>
  </si>
  <si>
    <t xml:space="preserve">آخر يوم قبل الإجازة</t>
  </si>
  <si>
    <t xml:space="preserve">آخر يوم دوام قبل الإجازة… الكل كذا؟ 😂</t>
  </si>
  <si>
    <t xml:space="preserve">Last workday before the break. Is everyone like this?</t>
  </si>
  <si>
    <t xml:space="preserve">#إجازة_الخريف #دوام #السعودية #ترند #مادا</t>
  </si>
  <si>
    <t xml:space="preserve">Tag a colleague</t>
  </si>
  <si>
    <t xml:space="preserve">Team meme on a trending sound: the clock at 13:59, then the whole team 'teleporting' out with suitcases. Relatable and real (TikTok Next 2026: 'Reali-TEA').</t>
  </si>
  <si>
    <t xml:space="preserve">Keep it light. No mocking anyone (GAMR rules).</t>
  </si>
  <si>
    <t xml:space="preserve">Break departures</t>
  </si>
  <si>
    <t xml:space="preserve">Airport-day checklist</t>
  </si>
  <si>
    <t xml:space="preserve">Slide 1: مسافر بكرة؟ سوّ هذا الليلة ✅</t>
  </si>
  <si>
    <t xml:space="preserve">Flying tomorrow? Do this tonight</t>
  </si>
  <si>
    <t xml:space="preserve">مسافر بكرة؟ سوّ هذا الليلة</t>
  </si>
  <si>
    <t xml:space="preserve">مسافر بكرة؟ ٧ أشياء سوّها الليلة ✅</t>
  </si>
  <si>
    <t xml:space="preserve">Flying tomorrow? 7 things to do tonight.</t>
  </si>
  <si>
    <t xml:space="preserve">قائمة السفر, نصائح المطار</t>
  </si>
  <si>
    <t xml:space="preserve">#نصائح_سفر #إجازة_الخريف #سفر #مطار #مادا</t>
  </si>
  <si>
    <t xml:space="preserve">Checklist: online check-in, passport validity (6 months), ETA/visa copies, chargers, a pen for forms, arrival transfer confirmed, airline app notifications on.</t>
  </si>
  <si>
    <t xml:space="preserve">Break</t>
  </si>
  <si>
    <t xml:space="preserve">Last-minute break trips</t>
  </si>
  <si>
    <t xml:space="preserve">ما حجزت للإجازة؟ لسه فيه وقت.</t>
  </si>
  <si>
    <t xml:space="preserve">ما حجزت للإجازة؟ لسه فيه وقت ⏳
عندنا خيارات داخلية وقريبة للويكند هذا. أرسل «إجازة» على الواتساب ونرد عليك خلال ساعة.</t>
  </si>
  <si>
    <t xml:space="preserve">Haven't booked for the break? There's still time. We have domestic and nearby options for this weekend. Send 'break' on WhatsApp and we'll reply within the hour.</t>
  </si>
  <si>
    <t xml:space="preserve">رحلات اللحظة الاخيرة</t>
  </si>
  <si>
    <t xml:space="preserve">Ops must confirm real availability before posting.</t>
  </si>
  <si>
    <t xml:space="preserve">Horizon Keepers</t>
  </si>
  <si>
    <t xml:space="preserve">Employer brand</t>
  </si>
  <si>
    <t xml:space="preserve">Horizon Keepers #1: meet our visa desk</t>
  </si>
  <si>
    <t xml:space="preserve">She has read more embassy checklists than anyone we know.</t>
  </si>
  <si>
    <t xml:space="preserve">Horizon Keepers · The visa desk</t>
  </si>
  <si>
    <t xml:space="preserve">Horizon Keepers #1: the visa desk.
She has read more embassy checklists than anyone we know. Her rule: 'Nobody should find out at the counter that a document is missing.'
What the visa desk handles each week:
• Schengen, UK ETA, US and Asia applications
• Business visit visas for inbound delegates
• Appointment hunting during peak season
The people behind the plan are the plan.</t>
  </si>
  <si>
    <t xml:space="preserve">visa services Riyadh, business visa Saudi</t>
  </si>
  <si>
    <t xml:space="preserve">#HorizonKeepers #TeamMada #Riyadh</t>
  </si>
  <si>
    <t xml:space="preserve">Follow</t>
  </si>
  <si>
    <t xml:space="preserve">A natural portrait at her desk (with consent), a quote overlay.</t>
  </si>
  <si>
    <t xml:space="preserve">Consent from the team member. Use her first name if she's happy to.</t>
  </si>
  <si>
    <t xml:space="preserve">Autumn break starts 20 Nov</t>
  </si>
  <si>
    <t xml:space="preserve">Break mode: ON</t>
  </si>
  <si>
    <t xml:space="preserve">A suitcase zips shut on the beat</t>
  </si>
  <si>
    <t xml:space="preserve">وضع الإجازة: تشغيل</t>
  </si>
  <si>
    <t xml:space="preserve">وضع الإجازة: تشغيل 🍂✈️
وين أول محطة لكم؟ شاركونا بقصصكم ومنشنوا @madatrips</t>
  </si>
  <si>
    <t xml:space="preserve">Break mode on. Where's your first stop? Share your stories and tag @madatrips.</t>
  </si>
  <si>
    <t xml:space="preserve">اجازة الخريف, سفر</t>
  </si>
  <si>
    <t xml:space="preserve">#إجازة_الخريف #سفر #مادا #MadaTrips #السعودية</t>
  </si>
  <si>
    <t xml:space="preserve">Tag us in your stories (UGC)</t>
  </si>
  <si>
    <t xml:space="preserve">Fast montage, beat-synced: zips, passports, car doors, boarding, a hotel door, the first view. Clients' footage only with written consent. No kids' faces.</t>
  </si>
  <si>
    <t xml:space="preserve">Oman National Day (20 Nov) · break</t>
  </si>
  <si>
    <t xml:space="preserve">Muscat in 48 hours</t>
  </si>
  <si>
    <t xml:space="preserve">On-screen: ساعتين طيران من الرياض… وهذا اللي ينتظرك 🇴🇲</t>
  </si>
  <si>
    <t xml:space="preserve">مسقط في ٤٨ ساعة</t>
  </si>
  <si>
    <t xml:space="preserve">اليوم الوطني العماني 🇴🇲 ومسقط قريبة… هذا برنامج ٤٨ ساعة 👇</t>
  </si>
  <si>
    <t xml:space="preserve">Oman National Day, and Muscat is close. Here's a 48-hour plan.</t>
  </si>
  <si>
    <t xml:space="preserve">مسقط سياحة, برنامج مسقط يومين, Muscat 48 hours</t>
  </si>
  <si>
    <t xml:space="preserve">#مسقط #عمان #إجازة_الخريف #سفر #مادا</t>
  </si>
  <si>
    <t xml:space="preserve">Comment 'مسقط' for the plan</t>
  </si>
  <si>
    <t xml:space="preserve">Itinerary chapters: Muttrah Corniche at sunset, the Grand Mosque in the morning, a boat trip, the souq. Respectful, warm wishes to Oman.</t>
  </si>
  <si>
    <t xml:space="preserve">Check the National Day holiday date with Omani sources. Use respectful wording.</t>
  </si>
  <si>
    <t xml:space="preserve">17:00</t>
  </si>
  <si>
    <t xml:space="preserve">Safe travels + 24/7 line</t>
  </si>
  <si>
    <t xml:space="preserve">مسافر اليوم؟ الله يحفظك.</t>
  </si>
  <si>
    <t xml:space="preserve">مسافر اليوم؟ الله يحفظك وترجع بالسلامة 🤍
أي طارئ بالطريق، واتساب مادا شغال ٢٤/٧: ‎+966 56 668 2662</t>
  </si>
  <si>
    <t xml:space="preserve">Travelling today? Safe travels. For anything on the way, Mada's WhatsApp is open 24/7.</t>
  </si>
  <si>
    <t xml:space="preserve">Save the number</t>
  </si>
  <si>
    <t xml:space="preserve">After Friday prayer.</t>
  </si>
  <si>
    <t xml:space="preserve">Desert camping season · break weekend</t>
  </si>
  <si>
    <t xml:space="preserve">Kashta season: the desert camp checklist</t>
  </si>
  <si>
    <t xml:space="preserve">Slide 1: Kashta season is open. Here's the checklist we swear by.</t>
  </si>
  <si>
    <t xml:space="preserve">Kashta season · the checklist</t>
  </si>
  <si>
    <t xml:space="preserve">موسم الكشتة · القائمة الكاملة</t>
  </si>
  <si>
    <t xml:space="preserve">موسم الكشتة فتح 🔥🏜️
القائمة اللي نمشي عليها: من الحطب لين الكشاف، ونصايح الأمان اللي محد يقولها.
احفظها لأول كشتة.</t>
  </si>
  <si>
    <t xml:space="preserve">Kashta (desert camping) season is open. Our checklist from firewood to headlamps, plus the safety tips nobody tells you. Save it for your first camp.</t>
  </si>
  <si>
    <t xml:space="preserve">كشتة, قائمة الكشتة, مخيمات الرياض, desert camping Riyadh</t>
  </si>
  <si>
    <t xml:space="preserve">#كشتة #موسم_الكشتة #الرياض #البر #مادا</t>
  </si>
  <si>
    <t xml:space="preserve">Save + tag your kashta crew</t>
  </si>
  <si>
    <t xml:space="preserve">Photo-led slides: the setup, gear flat-lay, coffee corner, fire. Safety slide: tell someone your location, carry water and a spare tyre, check the weather, take your rubbish home.</t>
  </si>
  <si>
    <t xml:space="preserve">Kashta season</t>
  </si>
  <si>
    <t xml:space="preserve">Kashta setup ASMR</t>
  </si>
  <si>
    <t xml:space="preserve">Sound first: the fire crackles, the dallah pours</t>
  </si>
  <si>
    <t xml:space="preserve">Kashta setup · sound on</t>
  </si>
  <si>
    <t xml:space="preserve">تجهيز الكشتة · ارفع الصوت</t>
  </si>
  <si>
    <t xml:space="preserve">كشتة أول الموسم 🔥 ارفع الصوت.</t>
  </si>
  <si>
    <t xml:space="preserve">First kashta of the season. Sound on.</t>
  </si>
  <si>
    <t xml:space="preserve">كشتة, جلسة بر, مخيم</t>
  </si>
  <si>
    <t xml:space="preserve">#كشتة #البر #موسم_الكشتة #السعودية #مادا</t>
  </si>
  <si>
    <t xml:space="preserve">Comment your kashta must-have</t>
  </si>
  <si>
    <t xml:space="preserve">ASMR build: carpets unrolled, the tent up, the fire lit, coffee poured, stars come out (timelapse). No VO.</t>
  </si>
  <si>
    <t xml:space="preserve">16:30</t>
  </si>
  <si>
    <t xml:space="preserve">Kashta must-have</t>
  </si>
  <si>
    <t xml:space="preserve">وش أهم شي في الكشتة؟</t>
  </si>
  <si>
    <t xml:space="preserve">وش أهم شي في الكشتة؟ 🔥</t>
  </si>
  <si>
    <t xml:space="preserve">What matters most at a kashta?</t>
  </si>
  <si>
    <t xml:space="preserve">كشتة</t>
  </si>
  <si>
    <t xml:space="preserve">#كشتة</t>
  </si>
  <si>
    <t xml:space="preserve">Poll: ☕ القهوة / 🔥 الحطب / 🎶 الجلسة / 🍖 العشاء</t>
  </si>
  <si>
    <t xml:space="preserve">Concierge Confessions #2: the 2am rebooking</t>
  </si>
  <si>
    <t xml:space="preserve">On-screen: 'The flight's cancelled.' 'OK. Give me 20 minutes.'</t>
  </si>
  <si>
    <t xml:space="preserve">02:00 · 20 minutes · new route</t>
  </si>
  <si>
    <t xml:space="preserve">٢ الفجر · ٢٠ دقيقة · مسار جديد</t>
  </si>
  <si>
    <t xml:space="preserve">رحلة ألغيت الساعة ٢ الفجر… و٢٠ دقيقة بعدها كان فيه مسار جديد، فندق، وسيارة تنتظر.
«من دفتر الكونسيرج» الحلقة ٢</t>
  </si>
  <si>
    <t xml:space="preserve">A flight cancelled at 2 a.m., and 20 minutes later a new route, a hotel and a car waiting. 'Concierge Confessions', episode 2.</t>
  </si>
  <si>
    <t xml:space="preserve">الغاء رحلة وش اسوي, travel concierge</t>
  </si>
  <si>
    <t xml:space="preserve">Save + follow</t>
  </si>
  <si>
    <t xml:space="preserve">Same storytime format. Calm, reassuring tone. Focus on the fix, not the problem.</t>
  </si>
  <si>
    <t xml:space="preserve">SENSITIVITY: no reference to the October attacks. Keep the story generic (weather, technical).</t>
  </si>
  <si>
    <t xml:space="preserve">Break week · Riyadh Season</t>
  </si>
  <si>
    <t xml:space="preserve">Riyadh Season with family: the 1-day plan</t>
  </si>
  <si>
    <t xml:space="preserve">On-screen: يوم كامل بموسم الرياض مع العائلة… بدون تعب 👨‍👩‍👧</t>
  </si>
  <si>
    <t xml:space="preserve">Riyadh Season with family: 1-day plan</t>
  </si>
  <si>
    <t xml:space="preserve">موسم الرياض مع العائلة: خطة يوم</t>
  </si>
  <si>
    <t xml:space="preserve">يوم كامل بموسم الرياض مع العائلة بدون تعب 👨‍👩‍👧 احفظ الخطة.</t>
  </si>
  <si>
    <t xml:space="preserve">A full day at Riyadh Season with the family, without the exhaustion. Save the plan.</t>
  </si>
  <si>
    <t xml:space="preserve">موسم الرياض للعائلات, وش يناسب الاطفال في موسم الرياض</t>
  </si>
  <si>
    <t xml:space="preserve">#موسم_الرياض #عائلة #إجازة_الخريف #الرياض #مادا</t>
  </si>
  <si>
    <t xml:space="preserve">Timeline video: 4pm Wonder Garden → 6pm early dinner → 7:30pm Boulevard World pavilions → 10pm home. Tips on strollers, breaks, meeting points.</t>
  </si>
  <si>
    <t xml:space="preserve">No children's faces.</t>
  </si>
  <si>
    <t xml:space="preserve">Break week</t>
  </si>
  <si>
    <t xml:space="preserve">Riyadh Season with family thread</t>
  </si>
  <si>
    <t xml:space="preserve">موسم الرياض مع العائلة: خطة يوم كامل 🧵</t>
  </si>
  <si>
    <t xml:space="preserve">١/ موسم الرياض مع العائلة: خطة يوم كامل بدون تعب 🧵
٢/ ٤ العصر: ونستر غاردن قبل الزحمة
٣/ ٦ المغرب: عشاء بدري
٤/ ٧:٣٠: أجنحة بوليفارد وورلد
٥/ ١٠ بالليل: الرجعة قبل ذروة الطلعة. وتبي تذاكر أو سيارة؟ كلمنا.</t>
  </si>
  <si>
    <t xml:space="preserve">1/ Riyadh Season with family: a full-day plan. 2/ 4pm Wonder Garden before the crowds. 3/ 6pm early dinner. 4/ 7:30 Boulevard World pavilions. 5/ 10pm head home before the rush. Need tickets or a car? Talk to us.</t>
  </si>
  <si>
    <t xml:space="preserve">موسم الرياض للعائلات</t>
  </si>
  <si>
    <t xml:space="preserve">Document 7 pages</t>
  </si>
  <si>
    <t xml:space="preserve">Q4 budgeting season</t>
  </si>
  <si>
    <t xml:space="preserve">Field Notes #3: 5 travel-policy clauses that save money in 2027</t>
  </si>
  <si>
    <t xml:space="preserve">Page 1: Most travel policies were written for 2019.</t>
  </si>
  <si>
    <t xml:space="preserve">5 travel-policy clauses for 2027</t>
  </si>
  <si>
    <t xml:space="preserve">Field Notes #3. Most corporate travel policies were written for a world that no longer exists.
5 clauses we recommend for 2027:
1. Book by default 21+ days ahead, with exceptions approved in one tap
2. Flexible fares for any trip with a fixed meeting
3. Preferred hotels near the work, not near the airport
4. A single 24/7 line for disruptions
5. Monthly reporting by project and cost centre
Which one would your finance team push back on?</t>
  </si>
  <si>
    <t xml:space="preserve">corporate travel policy, travel management company Saudi Arabia</t>
  </si>
  <si>
    <t xml:space="preserve">#FieldNotes #CorporateTravel #Procurement #Finance</t>
  </si>
  <si>
    <t xml:space="preserve">Comment</t>
  </si>
  <si>
    <t xml:space="preserve">PDF document, a policy-document look (numbered clauses, margins).</t>
  </si>
  <si>
    <t xml:space="preserve">Trend: destination dupes</t>
  </si>
  <si>
    <t xml:space="preserve">Destination dupes: love X? try Y</t>
  </si>
  <si>
    <t xml:space="preserve">Slide 1: Love Switzerland? You might love this more (and it's closer).</t>
  </si>
  <si>
    <t xml:space="preserve">Destination dupes</t>
  </si>
  <si>
    <t xml:space="preserve">بدائل الوجهات</t>
  </si>
  <si>
    <t xml:space="preserve">تحب سويسرا؟ جرب جورجيا 🏔️
تحب المالديف؟ جرب البحر الأحمر 🌊
تحب الأندلس؟ جرب الدرعية 🏛️
بدائل أقرب، وأحياناً أحلى. وش البديل اللي تقترحه؟</t>
  </si>
  <si>
    <t xml:space="preserve">Love Switzerland? Try Georgia. Love the Maldives? Try the Red Sea. Love Andalusia? Try Diriyah. Closer alternatives, sometimes better. What dupe would you suggest?</t>
  </si>
  <si>
    <t xml:space="preserve">بدائل سويسرا, البحر الاحمر بديل المالديف, destination dupes</t>
  </si>
  <si>
    <t xml:space="preserve">#سفر #البحر_الأحمر #جورجيا #الدرعية #مادا</t>
  </si>
  <si>
    <t xml:space="preserve">Comment your dupe</t>
  </si>
  <si>
    <t xml:space="preserve">Side-by-side split slides 'Love → Try'. Real photos. The 'dupe' structure is a strong save/share trigger.</t>
  </si>
  <si>
    <t xml:space="preserve">Trend: dupes</t>
  </si>
  <si>
    <t xml:space="preserve">Dupes: Switzerland? Try this</t>
  </si>
  <si>
    <t xml:space="preserve">On-screen: سويسرا غالية؟ 👀 جرب هذي</t>
  </si>
  <si>
    <t xml:space="preserve">Switzerland? Try this.</t>
  </si>
  <si>
    <t xml:space="preserve">سويسرا؟ جرب هذي</t>
  </si>
  <si>
    <t xml:space="preserve">بدائل الوجهات المشهورة… أقرب وأوفر 👀 أي واحد يستاهل؟</t>
  </si>
  <si>
    <t xml:space="preserve">Alternatives to famous destinations, closer and better value. Which one is worth it?</t>
  </si>
  <si>
    <t xml:space="preserve">بديل سويسرا, جورجيا في الشتاء, Gudauri</t>
  </si>
  <si>
    <t xml:space="preserve">#جورجيا #سفر #بدائل_سياحية #شتاء #مادا</t>
  </si>
  <si>
    <t xml:space="preserve">Comment 'worth it?'</t>
  </si>
  <si>
    <t xml:space="preserve">Green-screen 'this or that' with Gudauri snow (Georgia ski season opens around December), Red Sea, Diriyah.</t>
  </si>
  <si>
    <t xml:space="preserve">China visa-free window ends 31 Dec</t>
  </si>
  <si>
    <t xml:space="preserve">Visa-free reminders: China &amp; Russia</t>
  </si>
  <si>
    <t xml:space="preserve">دولتين تقدر تسافر لها بدون فيزا هالسنة 🧵</t>
  </si>
  <si>
    <t xml:space="preserve">١/ دولتين تقدر تسافر لها بجوازك السعودي بدون فيزا هالسنة 🧵
٢/ الصين: دخول بدون تأشيرة ممدد لين ٣١ ديسمبر ٢٠٢٦
٣/ روسيا: بدون تأشيرة من مايو ٢٠٢٦، لين ٩٠ يوم بالسنة
٤/ تحقق من الشروط قبل الحجز، وتبي برنامج؟ كلمنا.</t>
  </si>
  <si>
    <t xml:space="preserve">1/ Two countries you can visit visa-free on a Saudi passport this year. 2/ China: visa-free entry extended to 31 Dec 2026. 3/ Russia: visa-free since May 2026, up to 90 days a year. 4/ Check the conditions before booking.</t>
  </si>
  <si>
    <t xml:space="preserve">بدون فيزا للسعوديين, الصين بدون تأشيرة</t>
  </si>
  <si>
    <t xml:space="preserve">#بدون_فيزا</t>
  </si>
  <si>
    <t xml:space="preserve">Verify both rules with the official embassy pages the week of posting.</t>
  </si>
  <si>
    <t xml:space="preserve">Behind the Curtain #2: a gala run to the second</t>
  </si>
  <si>
    <t xml:space="preserve">A show caller's voice: 'Standby cue 14… go.'</t>
  </si>
  <si>
    <t xml:space="preserve">Cue 14 · go</t>
  </si>
  <si>
    <t xml:space="preserve">الإشارة ١٤ · انطلق</t>
  </si>
  <si>
    <t xml:space="preserve">«استعداد… الإشارة ١٤… انطلق»
كل حفل ناجح وراه شخص يمشي الفعالية بالثانية. «خلف الستارة» الحلقة ٢.</t>
  </si>
  <si>
    <t xml:space="preserve">'Standby… cue 14… go.' Behind every great gala is someone running it to the second. 'Behind the Curtain', episode 2.</t>
  </si>
  <si>
    <t xml:space="preserve">تنظيم حفلات الرياض, تنظيم حفل جوائز, gala event Riyadh</t>
  </si>
  <si>
    <t xml:space="preserve">#خلف_الستارة #تنظيم_فعاليات #حفلات #مادا #MadaEvents</t>
  </si>
  <si>
    <t xml:space="preserve">DM 'EVENT'</t>
  </si>
  <si>
    <t xml:space="preserve">Show-caller POV from the control desk: headset audio, a run-of-show sheet, cues hitting on stage. Real event footage.</t>
  </si>
  <si>
    <t xml:space="preserve">Needs our own event footage.</t>
  </si>
  <si>
    <t xml:space="preserve">Trend: day in the life / Reali-TEA</t>
  </si>
  <si>
    <t xml:space="preserve">Day in the life of a Mada concierge</t>
  </si>
  <si>
    <t xml:space="preserve">On-screen: يوم كامل مع كونسيرج سفر بالرياض ☕📞</t>
  </si>
  <si>
    <t xml:space="preserve">A day with a Riyadh travel concierge</t>
  </si>
  <si>
    <t xml:space="preserve">يوم مع كونسيرج سفر بالرياض</t>
  </si>
  <si>
    <t xml:space="preserve">يوم كامل مع كونسيرج سفر بالرياض ☕📞 وش تتوقع أغرب طلب جانا؟</t>
  </si>
  <si>
    <t xml:space="preserve">A full day with a travel concierge in Riyadh. Guess the strangest request we've had?</t>
  </si>
  <si>
    <t xml:space="preserve">يومي في العمل, وظيفة كونسيرج, day in the life travel agent</t>
  </si>
  <si>
    <t xml:space="preserve">#يوم_في_حياتي #مادا #سفر #الرياض #DayInTheLife</t>
  </si>
  <si>
    <t xml:space="preserve">Guess in comments</t>
  </si>
  <si>
    <t xml:space="preserve">Vlog style, 8 time-stamped beats from 08:00 coffee to 23:00 'one more call'. Natural, lightly funny, real.</t>
  </si>
  <si>
    <t xml:space="preserve">White Friday 27 Nov</t>
  </si>
  <si>
    <t xml:space="preserve">White Friday teaser</t>
  </si>
  <si>
    <t xml:space="preserve">الجمعة البيضاء جاية… 👀</t>
  </si>
  <si>
    <t xml:space="preserve">الجمعة البيضاء جاية ٢٧ نوفمبر 👀
ردّ بـ«🤍» ونرسل لك العرض قبل الكل.</t>
  </si>
  <si>
    <t xml:space="preserve">White Friday is coming on 27 November. Reply with 🤍 and we'll send you the offer first.</t>
  </si>
  <si>
    <t xml:space="preserve">الجمعة البيضاء عروض سفر</t>
  </si>
  <si>
    <t xml:space="preserve">#الجمعة_البيضاء</t>
  </si>
  <si>
    <t xml:space="preserve">Reply 🤍</t>
  </si>
  <si>
    <t xml:space="preserve">Build an early-access list from the replies (DM each one on the day).</t>
  </si>
  <si>
    <t xml:space="preserve">Specialist supply: the expert you couldn't find</t>
  </si>
  <si>
    <t xml:space="preserve">The project needed one person. There were four in the region.</t>
  </si>
  <si>
    <t xml:space="preserve">The expert you couldn't find. Found.</t>
  </si>
  <si>
    <t xml:space="preserve">A client needed one specialist for a commissioning phase. There were maybe four people in the region with that exact certification, and all were booked.
We found the fifth, cleared the visa and had them on site in 11 days.
Specialist supply is about the network and the paperwork. One without the other doesn't work.
If your 2027 projects have roles you're already worried about, talk to us early.</t>
  </si>
  <si>
    <t xml:space="preserve">specialist recruitment Saudi Arabia, technical specialists KSA</t>
  </si>
  <si>
    <t xml:space="preserve">#SpecialistSupply #Engineering #SaudiArabia #Projects</t>
  </si>
  <si>
    <t xml:space="preserve">One image: a minimalist search graphic (5 dots, one lit).</t>
  </si>
  <si>
    <t xml:space="preserve">Use a real case with numbers confirmed by ops.</t>
  </si>
  <si>
    <t xml:space="preserve">White Friday countdown</t>
  </si>
  <si>
    <t xml:space="preserve">White Friday: 2 days</t>
  </si>
  <si>
    <t xml:space="preserve">2 days.</t>
  </si>
  <si>
    <t xml:space="preserve">White Friday · 2 days</t>
  </si>
  <si>
    <t xml:space="preserve">الجمعة البيضاء · باقي يومين</t>
  </si>
  <si>
    <t xml:space="preserve">باقي يومين 🤍
فعّل التنبيهات عشان ما يفوتك.</t>
  </si>
  <si>
    <t xml:space="preserve">Two days. Turn on notifications so you don't miss it.</t>
  </si>
  <si>
    <t xml:space="preserve">الجمعة البيضاء</t>
  </si>
  <si>
    <t xml:space="preserve">#الجمعة_البيضاء #عروض_سفر #مادا #MadaTrips #الرياض</t>
  </si>
  <si>
    <t xml:space="preserve">Minimal: a big '2' in white on green, a soft sand texture. Story version with a countdown sticker (people can tap 'remind me').</t>
  </si>
  <si>
    <t xml:space="preserve">Travel myths: real or fake?</t>
  </si>
  <si>
    <t xml:space="preserve">On-screen: الحجز يوم الثلاثاء أرخص؟ 🤔 حقيقة ولا خرافة</t>
  </si>
  <si>
    <t xml:space="preserve">خرافات السفر: حقيقة ولا لا؟</t>
  </si>
  <si>
    <t xml:space="preserve">٥ خرافات عن حجز السفر… كم وحدة كنت مصدقها؟ 😅</t>
  </si>
  <si>
    <t xml:space="preserve">5 myths about booking travel. How many did you believe?</t>
  </si>
  <si>
    <t xml:space="preserve">نصائح حجز طيران, ارخص وقت للحجز</t>
  </si>
  <si>
    <t xml:space="preserve">#نصائح_سفر #سفر #حجز_طيران #السعودية #مادا</t>
  </si>
  <si>
    <t xml:space="preserve">Comment your score /5</t>
  </si>
  <si>
    <t xml:space="preserve">Green-screen myth-busting with a ✅/❌ stamp: Tuesday booking, incognito mode, 'last minute is always cheaper', 'refundable is never worth it', 'one-way is always pricier'. Give the honest nuance.</t>
  </si>
  <si>
    <t xml:space="preserve">Booking myths thread</t>
  </si>
  <si>
    <t xml:space="preserve">٥ خرافات عن حجز الطيران 🧵</t>
  </si>
  <si>
    <t xml:space="preserve">١/ ٥ خرافات عن حجز الطيران 🧵
٢/ «الثلاثاء أرخص»: الأسعار تتغير حسب الطلب، مو حسب اليوم.
٣/ «التصفح الخفي يرخص السعر»: ما فيه دليل قوي.
٤/ «آخر لحظة دايم أرخص»: بمواسم الإجازات العكس غالباً.
٥/ «المرن ما يستاهل»: إذا عندك اجتماع ثابت، يستاهل.</t>
  </si>
  <si>
    <t xml:space="preserve">1/ 5 myths about booking flights. 2/ 'Tuesday is cheaper': prices move with demand, not the day. 3/ 'Incognito lowers prices': no solid evidence. 4/ 'Last minute is always cheaper': in holiday peaks it's usually the opposite. 5/ 'Flexible isn't worth it': with a fixed meeting, it is.</t>
  </si>
  <si>
    <t xml:space="preserve">نصائح حجز طيران</t>
  </si>
  <si>
    <t xml:space="preserve">#نصائح_سفر</t>
  </si>
  <si>
    <t xml:space="preserve">F1 Qatar 27-29 Nov · White Friday</t>
  </si>
  <si>
    <t xml:space="preserve">Weekend Radar #4</t>
  </si>
  <si>
    <t xml:space="preserve">Slide 1: Weekend Radar · 26-28 Nov</t>
  </si>
  <si>
    <t xml:space="preserve">Weekend Radar · 26-28 Nov</t>
  </si>
  <si>
    <t xml:space="preserve">رادار الويكند · ٢٦–٢٨ نوفمبر</t>
  </si>
  <si>
    <t xml:space="preserve">رادار الويكند 📡
• الجمعة: الجمعة البيضاء 🤍
• الدوحة: جائزة قطر للفورمولا ١ (٢٧–٢٩)
• ستراسبورغ: سوق الشتاء يفتح اليوم
• آخر ويكند بالإجازة: موسم الرياض والكشتة</t>
  </si>
  <si>
    <t xml:space="preserve">Weekend Radar: White Friday, the F1 Qatar Grand Prix (27-29), Strasbourg's winter market opens today, and the last weekend of the break.</t>
  </si>
  <si>
    <t xml:space="preserve">فعاليات الويكند, F1 Qatar 2026</t>
  </si>
  <si>
    <t xml:space="preserve">#رادار_الويكند #موسم_الرياض #فورمولا1 #الرياض #مادا</t>
  </si>
  <si>
    <t xml:space="preserve">Check F1 Qatar is going ahead (regional uncertainty reported).</t>
  </si>
  <si>
    <t xml:space="preserve">White Friday eve</t>
  </si>
  <si>
    <t xml:space="preserve">White Friday tomorrow: how it works</t>
  </si>
  <si>
    <t xml:space="preserve">On-screen: Tomorrow. Here's how it works.</t>
  </si>
  <si>
    <t xml:space="preserve">White Friday · tomorrow</t>
  </si>
  <si>
    <t xml:space="preserve">الجمعة البيضاء · بكرة</t>
  </si>
  <si>
    <t xml:space="preserve">بكرة الجمعة البيضاء 🤍 كيف تستفيد:
١ فعّل التنبيه ٢ جهز وجهتك وتواريخك ٣ أرسل «🤍» على الواتساب أول ما يبدأ.</t>
  </si>
  <si>
    <t xml:space="preserve">White Friday is tomorrow. Turn on notifications, have your destination and dates ready, and send 🤍 on WhatsApp when it starts.</t>
  </si>
  <si>
    <t xml:space="preserve">عروض الجمعة البيضاء سفر</t>
  </si>
  <si>
    <t xml:space="preserve">#الجمعة_البيضاء #عروض_سفر #مادا #سفر #الرياض</t>
  </si>
  <si>
    <t xml:space="preserve">Three-step explainer with a phone-screen mockup. A simple loop.</t>
  </si>
  <si>
    <t xml:space="preserve">F1 Qatar GP 27-29 Nov</t>
  </si>
  <si>
    <t xml:space="preserve">F1 Qatar weekend: Riyadh to Doha</t>
  </si>
  <si>
    <t xml:space="preserve">On-screen: أقل من ساعتين من الرياض… وأنت بالفورمولا ١ 🏎️</t>
  </si>
  <si>
    <t xml:space="preserve">Under 2 hours to F1</t>
  </si>
  <si>
    <t xml:space="preserve">أقل من ساعتين… وأنت بالفورمولا ١</t>
  </si>
  <si>
    <t xml:space="preserve">جائزة قطر الكبرى للفورمولا ١ هالويكند 🏎️ أقل من ساعتين طيران من الرياض. تلحق؟</t>
  </si>
  <si>
    <t xml:space="preserve">The F1 Qatar Grand Prix is this weekend, under 2 hours' flight from Riyadh. Can you make it?</t>
  </si>
  <si>
    <t xml:space="preserve">فورمولا ١ قطر, F1 Qatar 2026 tickets, لوسيل</t>
  </si>
  <si>
    <t xml:space="preserve">#فورمولا1 #قطر #F1 #سفر #مادا</t>
  </si>
  <si>
    <t xml:space="preserve">Comment 'ألحق'</t>
  </si>
  <si>
    <t xml:space="preserve">Countdown energy, a flight-path animation RUH → DOH, a quick package outline (flight, hotel, grandstand, transfers). No F1 broadcast footage.</t>
  </si>
  <si>
    <t xml:space="preserve">Confirm the race status and ticket availability before posting. No F1 logos.</t>
  </si>
  <si>
    <t xml:space="preserve">White Friday preview</t>
  </si>
  <si>
    <t xml:space="preserve">On-screen: عرض بكرة… تلميح 👀</t>
  </si>
  <si>
    <t xml:space="preserve">A hint for tomorrow</t>
  </si>
  <si>
    <t xml:space="preserve">تلميح لعرض بكرة</t>
  </si>
  <si>
    <t xml:space="preserve">تلميح لعرض بكرة 👀 خمّن الوجهة.</t>
  </si>
  <si>
    <t xml:space="preserve">A hint for tomorrow's offer. Guess the destination.</t>
  </si>
  <si>
    <t xml:space="preserve">عروض الجمعة البيضاء</t>
  </si>
  <si>
    <t xml:space="preserve">#الجمعة_البيضاء #عروض_سفر #سفر #السعودية #مادا</t>
  </si>
  <si>
    <t xml:space="preserve">Blurred destination reveal with sound cues (waves? snow?). The comment guessing game boosts reach.</t>
  </si>
  <si>
    <t xml:space="preserve">White Friday rules</t>
  </si>
  <si>
    <t xml:space="preserve">بكرة الجمعة البيضاء 🤍 القوانين بسيطة:</t>
  </si>
  <si>
    <t xml:space="preserve">بكرة الجمعة البيضاء 🤍 القوانين بسيطة:
• العرض يبدأ ٨ الصباح
• محدود بعدد حجوزات
• بدون أكواد، بس أرسل «🤍» على الواتساب
اللي ردوا بـ🤍 أمس، يوصلكم قبل الكل.</t>
  </si>
  <si>
    <t xml:space="preserve">White Friday tomorrow. The offer starts at 8 a.m., limited bookings, no codes: just send 🤍 on WhatsApp. Those who replied yesterday get it first.</t>
  </si>
  <si>
    <t xml:space="preserve">Final terms from management.</t>
  </si>
  <si>
    <t xml:space="preserve">B2B White Friday equivalent</t>
  </si>
  <si>
    <t xml:space="preserve">Plan Q1 2027 events at 2026 rates</t>
  </si>
  <si>
    <t xml:space="preserve">Your Q1 2027 events will be planned in December. Here's an offer for doing it now.</t>
  </si>
  <si>
    <t xml:space="preserve">Q1 2027 events · 2026 rates</t>
  </si>
  <si>
    <t xml:space="preserve">Q1 2027 is going to be busy: the Saudi Cup in early February, then Ramadan from around 8 February.
If you're planning Q1 delegations, offsites or launches, confirm by 10 December and we'll hold 2026 service rates across travel, hotels and event production.
One brief, one plan, one invoice.</t>
  </si>
  <si>
    <t xml:space="preserve">event planning Q1 2027 Riyadh, corporate offsite Saudi Arabia</t>
  </si>
  <si>
    <t xml:space="preserve">#EventPlanning #Riyadh #CorporateEvents #MICE</t>
  </si>
  <si>
    <t xml:space="preserve">DM / email</t>
  </si>
  <si>
    <t xml:space="preserve">Text post + a simple Q1 timeline image (Saudi Cup 5-6 Feb, Ramadan ~8 Feb).</t>
  </si>
  <si>
    <t xml:space="preserve">OFFER needs management approval.</t>
  </si>
  <si>
    <t xml:space="preserve">08:00</t>
  </si>
  <si>
    <t xml:space="preserve">Carousel 5</t>
  </si>
  <si>
    <t xml:space="preserve">White Friday: the offer</t>
  </si>
  <si>
    <t xml:space="preserve">Slide 1: White Friday is on.</t>
  </si>
  <si>
    <t xml:space="preserve">White Friday · Today only</t>
  </si>
  <si>
    <t xml:space="preserve">الجمعة البيضاء · اليوم فقط</t>
  </si>
  <si>
    <t xml:space="preserve">الجمعة البيضاء بدأت 🤍
[تفاصيل العرض]
اليوم فقط، والعدد محدود. أرسل «🤍» على الواتساب ‎+966 56 668 2662</t>
  </si>
  <si>
    <t xml:space="preserve">White Friday is on. [Offer details]. Today only, limited numbers. Send 🤍 on WhatsApp.</t>
  </si>
  <si>
    <t xml:space="preserve">عروض الجمعة البيضاء, عروض سفر, باقات سياحية</t>
  </si>
  <si>
    <t xml:space="preserve">#الجمعة_البيضاء #عروض_سفر #مادا #MadaTrips #باقات_سياحية</t>
  </si>
  <si>
    <t xml:space="preserve">WhatsApp 🤍</t>
  </si>
  <si>
    <t xml:space="preserve">Hero design: white-on-green, gold accent. Slide 1 offer, slides 2-4 three destination options with what's included (no strike-through 'was/now' unless legally verified), slide 5 terms + CTA.</t>
  </si>
  <si>
    <t xml:space="preserve">MANAGEMENT: final offer, terms and real prices. Follow Saudi consumer-protection rules on discount claims (Ministry of Commerce).</t>
  </si>
  <si>
    <t xml:space="preserve">Reel 15s</t>
  </si>
  <si>
    <t xml:space="preserve">White Friday</t>
  </si>
  <si>
    <t xml:space="preserve">White Friday: final hours</t>
  </si>
  <si>
    <t xml:space="preserve">On-screen: Final hours 🤍</t>
  </si>
  <si>
    <t xml:space="preserve">Final hours</t>
  </si>
  <si>
    <t xml:space="preserve">الساعات الأخيرة</t>
  </si>
  <si>
    <t xml:space="preserve">الساعات الأخيرة 🤍 أرسل «🤍» على الواتساب قبل منتصف الليل.</t>
  </si>
  <si>
    <t xml:space="preserve">Final hours. Send 🤍 on WhatsApp before midnight.</t>
  </si>
  <si>
    <t xml:space="preserve">A clock-hand loop over destination shots. Short and urgent, still calm.</t>
  </si>
  <si>
    <t xml:space="preserve">LIVE 30-45 min</t>
  </si>
  <si>
    <t xml:space="preserve">White Friday LIVE: Ask the concierge</t>
  </si>
  <si>
    <t xml:space="preserve">LIVE title: اسأل الكونسيرج + عرض الجمعة البيضاء 🤍</t>
  </si>
  <si>
    <t xml:space="preserve">LIVE · Ask the concierge</t>
  </si>
  <si>
    <t xml:space="preserve">بث مباشر · اسأل الكونسيرج</t>
  </si>
  <si>
    <t xml:space="preserve">بث مباشر: اسألنا أي شي عن السفر، والفيز، والإجازات 🤍</t>
  </si>
  <si>
    <t xml:space="preserve">LIVE: ask us anything about travel, visas and breaks.</t>
  </si>
  <si>
    <t xml:space="preserve">عروض الجمعة البيضاء, نصائح سفر</t>
  </si>
  <si>
    <t xml:space="preserve">#الجمعة_البيضاء #بث_مباشر #سفر #مادا #السعودية</t>
  </si>
  <si>
    <t xml:space="preserve">Join the LIVE</t>
  </si>
  <si>
    <t xml:space="preserve">Two concierges, a ring light, questions answered live. Pin the WhatsApp number in a comment. Clip the best answers into next week's videos.</t>
  </si>
  <si>
    <t xml:space="preserve">TikTok LIVE needs at least 1,000 followers. If we're below that, post a 45s 'offer explained' video instead.</t>
  </si>
  <si>
    <t xml:space="preserve">08:05</t>
  </si>
  <si>
    <t xml:space="preserve">White Friday is live</t>
  </si>
  <si>
    <t xml:space="preserve">الجمعة البيضاء بدأت 🤍</t>
  </si>
  <si>
    <t xml:space="preserve">الجمعة البيضاء بدأت 🤍
[تفاصيل العرض]
اليوم فقط. أرسل «🤍» على الواتساب ‎+966 56 668 2662</t>
  </si>
  <si>
    <t xml:space="preserve">White Friday is live. [Offer details]. Today only. Send 🤍 on WhatsApp.</t>
  </si>
  <si>
    <t xml:space="preserve">Poster image. Pin for the day. DM everyone who replied 🤍 on 24 Nov.</t>
  </si>
  <si>
    <t xml:space="preserve">Management approval.</t>
  </si>
  <si>
    <t xml:space="preserve">End of autumn break</t>
  </si>
  <si>
    <t xml:space="preserve">Break recap: where our clients went</t>
  </si>
  <si>
    <t xml:space="preserve">A map of Saudi lights up with dots</t>
  </si>
  <si>
    <t xml:space="preserve">Where you went this break</t>
  </si>
  <si>
    <t xml:space="preserve">وين رحتوا هالإجازة</t>
  </si>
  <si>
    <t xml:space="preserve">وين رحتوا هالإجازة؟ 🗺️ هذي الخريطة من رحلات عملاءنا (بإذنهم 🤍)
شكراً إنكم سافرتوا معنا.</t>
  </si>
  <si>
    <t xml:space="preserve">Where you went this break: a map of our clients' trips (shared with permission). Thank you for travelling with us.</t>
  </si>
  <si>
    <t xml:space="preserve">اجازة الخريف, رحلات</t>
  </si>
  <si>
    <t xml:space="preserve">#إجازة_الخريف #مادا #سفر #MadaTrips #السعودية</t>
  </si>
  <si>
    <t xml:space="preserve">Share your trip in our DMs</t>
  </si>
  <si>
    <t xml:space="preserve">An animated map with dots popping (AlUla, Abha, Jeddah, Muscat, Baku, Tbilisi, London…) intercut with consented client clips. Warm thank-you ending.</t>
  </si>
  <si>
    <t xml:space="preserve">Written consent for every client clip. Aggregated data only.</t>
  </si>
  <si>
    <t xml:space="preserve">Last day of break</t>
  </si>
  <si>
    <t xml:space="preserve">Last day of the break mood</t>
  </si>
  <si>
    <t xml:space="preserve">On-screen: آخر يوم إجازة 🥲</t>
  </si>
  <si>
    <t xml:space="preserve">Last day of the break</t>
  </si>
  <si>
    <t xml:space="preserve">آخر يوم إجازة</t>
  </si>
  <si>
    <t xml:space="preserve">آخر يوم إجازة… من معي؟ 🥲</t>
  </si>
  <si>
    <t xml:space="preserve">Last day of the break. Who's with me?</t>
  </si>
  <si>
    <t xml:space="preserve">#إجازة_الخريف #آخر_يوم_إجازة #السعودية #ترند #مادا</t>
  </si>
  <si>
    <t xml:space="preserve">Tag someone</t>
  </si>
  <si>
    <t xml:space="preserve">A relatable trend audio: the team unpacking slowly, alarm-clock dread. Light.</t>
  </si>
  <si>
    <t xml:space="preserve">End of break</t>
  </si>
  <si>
    <t xml:space="preserve">How was your trip?</t>
  </si>
  <si>
    <t xml:space="preserve">رجعت من الإجازة؟</t>
  </si>
  <si>
    <t xml:space="preserve">رجعت من الإجازة؟ 🍂
قيّم رحلتك من ١٠ بالرد، ووش الشي اللي كان ودك يكون أسهل؟ نقرأ كل رد.</t>
  </si>
  <si>
    <t xml:space="preserve">Back from the break? Rate your trip out of 10 in the replies. What do you wish had been easier? We read every reply.</t>
  </si>
  <si>
    <t xml:space="preserve">Collect insights for December content.</t>
  </si>
  <si>
    <t xml:space="preserve">Umrah, Step by Step</t>
  </si>
  <si>
    <t xml:space="preserve">1 Rajab 1448 ≈ 10 Dec 2026</t>
  </si>
  <si>
    <t xml:space="preserve">Rajab starts 10 Dec: plan your Umrah calmly</t>
  </si>
  <si>
    <t xml:space="preserve">Slide 1: Rajab begins in 11 days. A calm way to plan your Umrah.</t>
  </si>
  <si>
    <t xml:space="preserve">Rajab · plan your Umrah calmly</t>
  </si>
  <si>
    <t xml:space="preserve">رجب · خطط لعمرتك بهدوء</t>
  </si>
  <si>
    <t xml:space="preserve">يبدأ شهر رجب ١٠ ديسمبر بإذن الله 🤍
إذا ناوي عمرة رجب أو رمضان، هذي خطوات التخطيط بهدوء: التصريح عبر نسك، الفندق القريب، التنقل، ورعاية كبار السن.</t>
  </si>
  <si>
    <t xml:space="preserve">Rajab is expected to begin on 10 December. If you're planning Umrah in Rajab or Ramadan, here are the calm planning steps: the Nusuk permit, a nearby hotel, getting around, and care for elderly parents.</t>
  </si>
  <si>
    <t xml:space="preserve">عمرة رجب, باقات عمرة, تصريح عمرة نسك, Umrah package Riyadh</t>
  </si>
  <si>
    <t xml:space="preserve">#عمرة #عمرة_رجب #نسك #مكة #مادا</t>
  </si>
  <si>
    <t xml:space="preserve">Save + DM 'عمرة'</t>
  </si>
  <si>
    <t xml:space="preserve">Calm, respectful design: soft sand tones, no music on story versions, no salesy badges. One step per slide.</t>
  </si>
  <si>
    <t xml:space="preserve">Religious accuracy check by a knowledgeable team member. Say 'expected' for Hijri dates.</t>
  </si>
  <si>
    <t xml:space="preserve">Rajab teaser</t>
  </si>
  <si>
    <t xml:space="preserve">Umrah, step by step #1: before you go</t>
  </si>
  <si>
    <t xml:space="preserve">VO calm: ناوي عمرة؟ أول خطوة قبل أي حجز 👇</t>
  </si>
  <si>
    <t xml:space="preserve">Umrah: the first step before booking</t>
  </si>
  <si>
    <t xml:space="preserve">العمرة: أول خطوة قبل أي حجز</t>
  </si>
  <si>
    <t xml:space="preserve">ناوي عمرة؟ 🤍 أول خطوة قبل أي حجز: تصريح العمرة من تطبيق نسك. هذي الطريقة 👇</t>
  </si>
  <si>
    <t xml:space="preserve">Planning Umrah? The first step before any booking is the Umrah permit in the Nusuk app. Here's how.</t>
  </si>
  <si>
    <t xml:space="preserve">تصريح عمرة نسك, طريقة حجز عمرة, Umrah permit Nusuk</t>
  </si>
  <si>
    <t xml:space="preserve">#عمرة #نسك #تصريح_عمرة #مكة #مادا</t>
  </si>
  <si>
    <t xml:space="preserve">A calm screen-record of the Nusuk app (no personal data) with VO. No music. A respectful, clear series opener.</t>
  </si>
  <si>
    <t xml:space="preserve">Accuracy check against the current Nusuk flow. Series continues through December.</t>
  </si>
  <si>
    <t xml:space="preserve">Ramadan 2027 ≈ 8 Feb</t>
  </si>
  <si>
    <t xml:space="preserve">Ramadan Umrah: book early</t>
  </si>
  <si>
    <t xml:space="preserve">رمضان ١٤٤٨ يبدأ تقريباً ٨ فبراير.</t>
  </si>
  <si>
    <t xml:space="preserve">رمضان ١٤٤٨ يبدأ تقريباً ٨ فبراير ٢٠٢٧ بإذن الله 🌙
إذا ناوي عمرة رمضان، الفنادق القريبة من الحرم تمتلي بدري. ابدأ التخطيط من رجب.</t>
  </si>
  <si>
    <t xml:space="preserve">Ramadan 1448 is expected around 8 February 2027. If you plan Umrah in Ramadan, hotels near the Haram fill early. Start planning in Rajab.</t>
  </si>
  <si>
    <t xml:space="preserve">عمرة رمضان, فنادق قريبة من الحرم</t>
  </si>
  <si>
    <t xml:space="preserve">#عمرة_رمضان</t>
  </si>
  <si>
    <t xml:space="preserve">Say 'expected', since it depends on moon sighting.</t>
  </si>
  <si>
    <t xml:space="preserve">Month-end</t>
  </si>
  <si>
    <t xml:space="preserve">Our first month, in numbers</t>
  </si>
  <si>
    <t xml:space="preserve">30 days ago we opened our doors. Here's what we learned.</t>
  </si>
  <si>
    <t xml:space="preserve">Month one</t>
  </si>
  <si>
    <t xml:space="preserve">30 days ago Mada Trips opened its doors. What we learned:
• The most common request wasn't a trip. It was 'Can you just handle it?'
• Visa questions outnumbered every other topic
• The best feedback was about a car that was waiting
[Add real numbers: requests handled, trips, events, crews mobilised]
Thank you to every client and partner who trusted a new name. December is already moving.</t>
  </si>
  <si>
    <t xml:space="preserve">travel company Riyadh, startup Saudi Arabia</t>
  </si>
  <si>
    <t xml:space="preserve">#Riyadh #Startup #Travel #Events</t>
  </si>
  <si>
    <t xml:space="preserve">One team photo.</t>
  </si>
  <si>
    <t xml:space="preserve">Fill in real numbers. Don't publish placeholders.</t>
  </si>
  <si>
    <t xml:space="preserve">December preview</t>
  </si>
  <si>
    <t xml:space="preserve">December on the horizon</t>
  </si>
  <si>
    <t xml:space="preserve">On-screen: Save December 👇 (calendar flips)</t>
  </si>
  <si>
    <t xml:space="preserve">ديسمبر في الأفق</t>
  </si>
  <si>
    <t xml:space="preserve">احفظ ديسمبر 📌
٢–٣: اليوم الوطني الإماراتي
٤–٦: الفورمولا ١ أبوظبي
١٠: بداية رجب
١٨–١٩: فورمولا إي جدة
٢٧–٣٠: Six Kings Slam الرياض
و٨ يناير: إجازة منتصف العام 🎒</t>
  </si>
  <si>
    <t xml:space="preserve">Save December: UAE National Day (2-3), F1 Abu Dhabi (4-6), Rajab begins (10), Formula E Jeddah (18-19), Six Kings Slam Riyadh (27-30), and the mid-year school break from 8 January.</t>
  </si>
  <si>
    <t xml:space="preserve">فعاليات ديسمبر السعودية, اجازة منتصف العام, Formula E Jeddah</t>
  </si>
  <si>
    <t xml:space="preserve">#ديسمبر #فعاليات #إجازة_منتصف_العام #السعودية #مادا</t>
  </si>
  <si>
    <t xml:space="preserve">Calendar pages flipping, one event per beat with a small visual. Ends with 'Plan it once. We'll handle the rest.'</t>
  </si>
  <si>
    <t xml:space="preserve">Re-check every date the week of posting (several events were moved or cancelled this season).</t>
  </si>
  <si>
    <t xml:space="preserve">December in Saudi &amp; the Gulf: 5 dates</t>
  </si>
  <si>
    <t xml:space="preserve">On-screen: ٥ مواعيد بديسمبر لازم تحفظها 📅</t>
  </si>
  <si>
    <t xml:space="preserve">5 December dates to save</t>
  </si>
  <si>
    <t xml:space="preserve">٥ مواعيد بديسمبر</t>
  </si>
  <si>
    <t xml:space="preserve">٥ مواعيد بديسمبر لازم تحفظها 📅 أيها رايح لها؟</t>
  </si>
  <si>
    <t xml:space="preserve">5 December dates to save. Which are you going to?</t>
  </si>
  <si>
    <t xml:space="preserve">فعاليات ديسمبر, فورمولا اي جدة, Six Kings Slam</t>
  </si>
  <si>
    <t xml:space="preserve">#ديسمبر #فعاليات_السعودية #فورمولا_إي #الرياض #مادا</t>
  </si>
  <si>
    <t xml:space="preserve">Comment which one</t>
  </si>
  <si>
    <t xml:space="preserve">Fast list with a ticking calendar sound.</t>
  </si>
  <si>
    <t xml:space="preserve">Cyber Monday / schools back</t>
  </si>
  <si>
    <t xml:space="preserve">Cyber Monday + December</t>
  </si>
  <si>
    <t xml:space="preserve">آخر عروض نوفمبر اليوم 🤍</t>
  </si>
  <si>
    <t xml:space="preserve">آخر يوم لعروض نوفمبر 🤍
وخطط ديسمبر من الحين: رجب، فورمولا إي جدة، وإجازة منتصف العام ٨ يناير.
كلمنا على الواتساب.</t>
  </si>
  <si>
    <t xml:space="preserve">Last day of November offers. And plan December now: Rajab, Formula E Jeddah and the mid-year break on 8 January.</t>
  </si>
  <si>
    <t xml:space="preserve">عروض سفر</t>
  </si>
  <si>
    <t xml:space="preserve">#عروض_سفر</t>
  </si>
  <si>
    <t xml:space="preserve">Only if a Cyber Monday offer is approved; otherwise post the December line only.</t>
  </si>
  <si>
    <t xml:space="preserve">Yellow columns = fill after posting. Eng. rate = (likes + comments + shares + saves) / reach. Use reach, not followers, so rates compare across a growing account.</t>
  </si>
  <si>
    <t xml:space="preserve">November 2026 at a glance</t>
  </si>
  <si>
    <t xml:space="preserve">Saudi week: Sunday-Thursday work, Friday-Saturday weekend. Bold = moment of the day.</t>
  </si>
  <si>
    <t xml:space="preserve">Sunday</t>
  </si>
  <si>
    <t xml:space="preserve">Monday</t>
  </si>
  <si>
    <t xml:space="preserve">Tuesday</t>
  </si>
  <si>
    <t xml:space="preserve">Wednesday</t>
  </si>
  <si>
    <t xml:space="preserve">Thursday</t>
  </si>
  <si>
    <t xml:space="preserve">Friday</t>
  </si>
  <si>
    <t xml:space="preserve">Saturday</t>
  </si>
  <si>
    <t xml:space="preserve">1 Nov — Brand launch
IN · Reel · Launch film: Every horizon, within reach
TI · Video · POV: you said it once and it just happened
X  · Post · Launch post
LI · Image · Mada Trips opens its doors</t>
  </si>
  <si>
    <t xml:space="preserve">2 Nov — Launch week
IN · Carousel · 9 services. 1 call.
TI · Video · Schengen 5-year visa for Saudis
X  · Thread · Schengen 5-year visa thread</t>
  </si>
  <si>
    <t xml:space="preserve">3 Nov — Launch week
IN · Static · A note from our founder
TI · Video · 5 things nobody tells you about Riyadh Season
X  · Post · Disruption help line
LI · Document · Hosting international delegates in Riyadh: the checklist</t>
  </si>
  <si>
    <t xml:space="preserve">4 Nov — AlUla Skies Festival 6-15 Nov
IN · Reel · One Call #1: three rooms for AlUla Skies
TI · Video · AlUla Skies Festival: what to do
X  · Poll · AlUla: which one?</t>
  </si>
  <si>
    <t xml:space="preserve">5 Nov — Riyadh Season, AlUla Skies, WWE Crown Jewel (7 Nov)
IN · Carousel · Weekend Radar #1
IN · Reel · Pack with me: AlUla in November
TI · Video · Riyadh Season zones in 60 seconds
TI · Photo · Rate my itinerary: 3 days in AlUla
X  · Thread · Weekend Radar on X</t>
  </si>
  <si>
    <t xml:space="preserve">6 Nov — AlUla Skies opening day
IN · Reel · 06:00 in AlUla (balloon ASMR)
TI · Video · POV: 6am in AlUla
X  · Post · AlUla Skies opens today</t>
  </si>
  <si>
    <t xml:space="preserve">7 Nov — WWE Crown Jewel (7 Nov)
IN · Carousel · Big night in Riyadh: the stress-free plan
TI · Video · Riyadh tonight
X  · Post · Crown Jewel night tip</t>
  </si>
  <si>
    <t xml:space="preserve">8 Nov — Winter in London (Winter Wonderland from 19 Nov)
IN · Reel · Concierge Confessions #1: the 3am call
TI · Video · UK ETA for Saudis
X  · Thread · UK ETA thread
LI · Document · Field Notes #1: a 200-person delegation, the 12-week timeline</t>
  </si>
  <si>
    <t xml:space="preserve">9 Nov — New moon 9 Nov · AlUla Skies
IN · Carousel · The darkest nights of the year are this week
TI · Video · Why tonight is the darkest night
X  · Post · Stargazing nudge</t>
  </si>
  <si>
    <t xml:space="preserve">10 Nov — AlUla Skies
IN · Reel · Behind the Curtain #1: an event build in 30 seconds
TI · Photo · What a weekend in AlUla actually costs
X  · Post · 11.11 teaser
LI · Post · Hiring skilled crews in KSA: what actually takes time</t>
  </si>
  <si>
    <t xml:space="preserve">11 Nov — 11.11 Singles Day / ~1 Jumada II
IN · Static · 11.11: 11 bookings, 11 upgrades
TI · Video · 11.11: what an 'upgrade' means
X  · Post · 11.11 live</t>
  </si>
  <si>
    <t xml:space="preserve">12 Nov — Vienna Schönbrunn market from 6 Nov · Rathausplatz ~13 Nov
IN · Carousel · Weekend Radar #2
IN · Reel · Vienna in winter: 3 days
TI · Video · Europe this winter: 5 cities ranked for families
TI · Video · Reply: how long does a Schengen visa take?
X  · Thread · Europe's winter markets 2026: opening dates
LI · Post · Why we answer at 3 a.m.</t>
  </si>
  <si>
    <t xml:space="preserve">13 Nov — World Kindness Day (13 Nov)
IN · Reel · Small things we do that nobody asks for
TI · Video · Things we do without being asked
X  · Post · World Kindness Day question</t>
  </si>
  <si>
    <t xml:space="preserve">14 Nov — School autumn break 20-28 Nov
IN · Carousel · Autumn break: 6 short trips from Riyadh
TI · Video · Autumn break in 6 days: 5 nearby escapes
X  · Post · Autumn break countdown</t>
  </si>
  <si>
    <t xml:space="preserve">15 Nov — Leonids peak 15 Nov · AlUla Skies closes
IN · Reel · Tonight: the Leonids
TI · Video · Where to see the meteors near Riyadh
X  · Post · Leonids alert
LI · Document · Cityscape Global week: visitor logistics</t>
  </si>
  <si>
    <t xml:space="preserve">16 Nov — International Day for Tolerance (16 Nov) · Cityscape visitors
IN · Carousel · Hosting guests from abroad: a Saudi hospitality guide
TI · Video · Saudi coffee etiquette in 30 seconds
X  · Thread · Cityscape Global: visitor tips</t>
  </si>
  <si>
    <t xml:space="preserve">17 Nov — Autumn break
IN · Reel · One Call #2: a family of 7, 48 hours to plan
TI · Photo · Autumn-break packing list for kids
X  · Poll · Autumn break: where?
LI · Document · Field Notes #2: why delegates remember logistics, not keynotes</t>
  </si>
  <si>
    <t xml:space="preserve">18 Nov — Lufthansa's planned return (18 Nov)
IN · Static · Schengen document checklist (save-worthy)
TI · Video · US visa: book your interview early
X  · Post · Routes update (conditional)</t>
  </si>
  <si>
    <t xml:space="preserve">19 Nov — School break starts 20 Nov
IN · Carousel · Weekend Radar #3: break edition
IN · Reel · London in winter: ETA + Winter Wonderland + 4 more
TI · Video · Last workday before the break
TI · Photo · Airport-day checklist
X  · Post · Last-minute break trips
LI · Image · Horizon Keepers #1: meet our visa desk</t>
  </si>
  <si>
    <t xml:space="preserve">20 Nov — Autumn break starts 20 Nov
IN · Reel · Break mode: ON
TI · Video · Muscat in 48 hours
X  · Post · Safe travels + 24/7 line</t>
  </si>
  <si>
    <t xml:space="preserve">21 Nov — Desert camping season · break weekend
IN · Carousel · Kashta season: the desert camp checklist
TI · Video · Kashta setup ASMR
X  · Poll · Kashta must-have</t>
  </si>
  <si>
    <t xml:space="preserve">22 Nov — Break week · Riyadh Season
IN · Reel · Concierge Confessions #2: the 2am rebooking
TI · Video · Riyadh Season with family: the 1-day plan
X  · Thread · Riyadh Season with family thread
LI · Document · Field Notes #3: 5 travel-policy clauses that save money in 2027</t>
  </si>
  <si>
    <t xml:space="preserve">23 Nov — Trend: destination dupes
IN · Carousel · Destination dupes: love X? try Y
TI · Video · Dupes: Switzerland? Try this
X  · Thread · Visa-free reminders: China &amp; Russia</t>
  </si>
  <si>
    <t xml:space="preserve">24 Nov — Trend: day in the life / Reali-TEA
IN · Reel · Behind the Curtain #2: a gala run to the second
TI · Video · Day in the life of a Mada concierge
X  · Post · White Friday teaser
LI · Image · Specialist supply: the expert you couldn't find</t>
  </si>
  <si>
    <t xml:space="preserve">25 Nov — White Friday countdown
IN · Static · White Friday: 2 days
TI · Video · Travel myths: real or fake?
X  · Thread · Booking myths thread</t>
  </si>
  <si>
    <t xml:space="preserve">26 Nov — F1 Qatar 27-29 Nov · White Friday
IN · Carousel · Weekend Radar #4
IN · Reel · White Friday tomorrow: how it works
TI · Video · F1 Qatar weekend: Riyadh to Doha
TI · Video · White Friday preview
X  · Post · White Friday rules
LI · Post · Plan Q1 2027 events at 2026 rates</t>
  </si>
  <si>
    <t xml:space="preserve">27 Nov — White Friday 27 Nov
IN · Carousel · White Friday: the offer
IN · Reel · White Friday: final hours
TI · LIVE · White Friday LIVE: Ask the concierge
X  · Post · White Friday is live</t>
  </si>
  <si>
    <t xml:space="preserve">28 Nov — End of autumn break
IN · Reel · Break recap: where our clients went
TI · Video · Last day of the break mood
X  · Post · How was your trip?</t>
  </si>
  <si>
    <t xml:space="preserve">29 Nov — 1 Rajab 1448 ≈ 10 Dec 2026
IN · Carousel · Rajab starts 10 Dec: plan your Umrah calmly
TI · Video · Umrah, step by step #1: before you go
X  · Post · Ramadan Umrah: book early
LI · Post · Our first month, in numbers</t>
  </si>
  <si>
    <t xml:space="preserve">30 Nov — December preview
IN · Reel · December on the horizon
TI · Video · December in Saudi &amp; the Gulf: 5 dates
X  · Post · Cyber Monday + December</t>
  </si>
  <si>
    <t xml:space="preserve">Shaded gold = school autumn break (20-28 Nov). IG = Instagram · TI = TikTok · X = X · LI = LinkedIn.</t>
  </si>
  <si>
    <t xml:space="preserve">Platform playbook</t>
  </si>
  <si>
    <t xml:space="preserve">Each platform has its own job. Same idea, native execution, never a cross-post.</t>
  </si>
  <si>
    <t xml:space="preserve">Role</t>
  </si>
  <si>
    <t xml:space="preserve">Cadence</t>
  </si>
  <si>
    <t xml:space="preserve">Language</t>
  </si>
  <si>
    <t xml:space="preserve">Best times (AST)</t>
  </si>
  <si>
    <t xml:space="preserve">Formats that work</t>
  </si>
  <si>
    <t xml:space="preserve">Rules</t>
  </si>
  <si>
    <t xml:space="preserve">Brand home and conversion. Discovery through Reels, saves and shares through carousels.</t>
  </si>
  <si>
    <t xml:space="preserve">1-2 feed posts a day (35 this month: 18 Reels, 13 carousels, 4 statics) + Stories every day</t>
  </si>
  <si>
    <t xml:space="preserve">Arabic first, with English underneath (bilingual captions). On-screen text in Arabic, with English where the post is for visitors.</t>
  </si>
  <si>
    <t xml:space="preserve">Weekdays 20:30. Thursday 19:30 (Weekend Radar) + 21:30. Weekend evenings 20:00-21:00. Avoid the Friday prayer window (11:30-13:30).</t>
  </si>
  <si>
    <t xml:space="preserve">• Reels 20-45s (up to 3 min allowed): discovery. Instagram ranks on watch time, likes per reach and sends per reach (Mosseri, Jan 2025)
• Carousels 6-10 slides, 4:5 or 3:4: the highest engagement per reach (6.9% vs Reels 3.3%, Buffer 2026). Use for itineraries, checklists, radars
• Statics: offers, quotes and save-worthy checklists only
• Stories daily: polls, question box, BTS, countdowns. Stories don't need to be polished
• Trial Reels: test 2 hooks for the same idea on non-followers before posting to the grid</t>
  </si>
  <si>
    <t xml:space="preserve">• Max 5 hashtags (cap announced Dec 2025). Use 2-3 topic tags + #مادا
• Original footage only. Since 30 Apr 2026 Instagram stops recommending accounts that mostly repost. Work with creators through Collab posts
• Grid previews at 3:4, so keep key text in the centre of 4:5 images
• Safe zone on Reels: no text in the top ~250px or bottom ~340px
• Put the keyword in the first caption line and in the on-screen text</t>
  </si>
  <si>
    <t xml:space="preserve">Reach and search. The biggest platform in KSA (38.6M ad reach, 154% of adults, highest TikTok penetration in the world).</t>
  </si>
  <si>
    <t xml:space="preserve">1-2 videos a day (34 this month), plus video replies to comments</t>
  </si>
  <si>
    <t xml:space="preserve">Saudi Arabic (white Najdi/Khaleeji) in voice and on screen. One English-led video a week for expats and visitors.</t>
  </si>
  <si>
    <t xml:space="preserve">21:00 main slot, 22:00 second slot on Thursdays. 20:00-23:00 is the modelled KSA peak.</t>
  </si>
  <si>
    <t xml:space="preserve">• Talking-head explainers 40-60s (Visa in 60). Videos over 60s get 43% more reach (Buffer, 1.1M videos)
• Relatable trend videos 15-20s (Reali-TEA, TikTok Next 2026)
• Photo Mode carousels for itineraries, costs and checklists. On-slide text is searchable
• Reply-to-comment videos: free content ideas and community proof
• LIVE once the account has 1,000 followers</t>
  </si>
  <si>
    <t xml:space="preserve">• Say the keyword in the first 3 seconds, show it on screen, write it in the caption's first line and use it in 1-2 hashtags. TikTok search reads all four
• Max 5 hashtags (cap since mid-2025)
• Hook in the first 2 seconds: text overlay + movement. Target a 3-second hold of 35%+
• Burn in captions. Most viewers watch muted
• Reply to comments for the first hour after posting</t>
  </si>
  <si>
    <t xml:space="preserve">X (Twitter)</t>
  </si>
  <si>
    <t xml:space="preserve">News, visa updates, live moments and fast customer care. Where Saudi conversations happen in real time.</t>
  </si>
  <si>
    <t xml:space="preserve">1 planned post a day (30 this month) + 1-3 reactive posts and replies a day</t>
  </si>
  <si>
    <t xml:space="preserve">Arabic. Short, direct, dialect-friendly.</t>
  </si>
  <si>
    <t xml:space="preserve">12:00-13:00 for useful posts and threads, 18:00-21:30 for live moments.</t>
  </si>
  <si>
    <t xml:space="preserve">• Text posts and threads: the highest median engagement on X (3.56%, Buffer 2026)
• Polls for light engagement
• Native images (the Weekend Radar cover). Avoid bare links (link posts have the lowest engagement: 2.25%)</t>
  </si>
  <si>
    <t xml:space="preserve">• Space posts at least 3 hours apart. X's ranker (open-sourced Jan 2026) downranks the 3rd-5th post from the same author in a short window
• Get X Premium (Basic) for the company account. Verified accounts have a higher score ceiling
• Reply to every reply in the first hour. Replies feed the ranking
• Never argue in public. Move complaints to DM within 15 minutes</t>
  </si>
  <si>
    <t xml:space="preserve">B2B credibility: corporates, delegations, events, manpower, specialists, IT. Lighter touch.</t>
  </si>
  <si>
    <t xml:space="preserve">3 posts a week (12 this month): Sunday, Tuesday, Thursday</t>
  </si>
  <si>
    <t xml:space="preserve">English (Arabic for national moments).</t>
  </si>
  <si>
    <t xml:space="preserve">09:30 on Saudi workdays (Sunday-Thursday).</t>
  </si>
  <si>
    <t xml:space="preserve">• Document (PDF) carousels: the top LinkedIn format in 2026 (Buffer and Socialinsider)
• Founder-voice text posts with one real photo
• Team spotlights (Horizon Keepers)</t>
  </si>
  <si>
    <t xml:space="preserve">• Teach something in every post (Field Notes). LinkedIn's 2026 ranking cuts low-substance posts and engagement bait
• The founder posts and the company page reshares. Personal profiles reach further
• Ask the team to comment with substance in the first hour, never just 'congrats'
• Put links in the post only when needed. Reach drops with external links (vendor estimates of 25-60%)</t>
  </si>
  <si>
    <t xml:space="preserve">Content pillars and recurring series</t>
  </si>
  <si>
    <t xml:space="preserve">Code</t>
  </si>
  <si>
    <t xml:space="preserve">Target share</t>
  </si>
  <si>
    <t xml:space="preserve">What goes here</t>
  </si>
  <si>
    <t xml:space="preserve">ONE</t>
  </si>
  <si>
    <t xml:space="preserve">20%</t>
  </si>
  <si>
    <t xml:space="preserve">The concierge in action: real requests, the 3am rescue, small kind gestures, a day in the life. The human face no competitor shows.</t>
  </si>
  <si>
    <t xml:space="preserve">One Call · Concierge Confessions · Horizon Keepers</t>
  </si>
  <si>
    <t xml:space="preserve">KNOW</t>
  </si>
  <si>
    <t xml:space="preserve">Search-led explainers: visas, checklists, myths, Umrah steps. Built to be saved and found in search.</t>
  </si>
  <si>
    <t xml:space="preserve">Visa in 60 · Umrah, Step by Step</t>
  </si>
  <si>
    <t xml:space="preserve">HOR</t>
  </si>
  <si>
    <t xml:space="preserve">35%</t>
  </si>
  <si>
    <t xml:space="preserve">Where to go and how: Riyadh Season, AlUla, short-haul breaks, Europe in winter, dupes, itineraries and real costs.</t>
  </si>
  <si>
    <t xml:space="preserve">Weekend Radar · Europe in Winter</t>
  </si>
  <si>
    <t xml:space="preserve">BIZ</t>
  </si>
  <si>
    <t xml:space="preserve">10%</t>
  </si>
  <si>
    <t xml:space="preserve">Mada Events craft and B2B: delegations, MICE, manpower, specialists, IT. Mostly LinkedIn, plus one events Reel every two weeks.</t>
  </si>
  <si>
    <t xml:space="preserve">Behind the Curtain · Field Notes</t>
  </si>
  <si>
    <t xml:space="preserve">MOM</t>
  </si>
  <si>
    <t xml:space="preserve">15%</t>
  </si>
  <si>
    <t xml:space="preserve">The launch, 11.11, World Kindness Day, the break, White Friday, December. Culture and conversion.</t>
  </si>
  <si>
    <t xml:space="preserve">Launch · 11.11 · White Friday</t>
  </si>
  <si>
    <t xml:space="preserve">Actual mix this month</t>
  </si>
  <si>
    <t xml:space="preserve">Posts</t>
  </si>
  <si>
    <t xml:space="preserve">Share</t>
  </si>
  <si>
    <t xml:space="preserve">Recurring series</t>
  </si>
  <si>
    <t xml:space="preserve">Where</t>
  </si>
  <si>
    <t xml:space="preserve">How often</t>
  </si>
  <si>
    <t xml:space="preserve">One Call / مكالمة وحدة</t>
  </si>
  <si>
    <t xml:space="preserve">IG Reel, then TikTok</t>
  </si>
  <si>
    <t xml:space="preserve">Every 2 weeks</t>
  </si>
  <si>
    <t xml:space="preserve">Split screen: the client's voice note on the left, the concierge solving it on the right, a timer. Ends on the client's reply. The signature format.</t>
  </si>
  <si>
    <t xml:space="preserve">Visa in 60 / الفيزا بدقيقة</t>
  </si>
  <si>
    <t xml:space="preserve">TikTok, IG, X thread</t>
  </si>
  <si>
    <t xml:space="preserve">Weekly</t>
  </si>
  <si>
    <t xml:space="preserve">A concierge explains one visa topic in 60 seconds. Keyword spoken in the first 3 seconds. The best search driver.</t>
  </si>
  <si>
    <t xml:space="preserve">Weekend Radar / رادار الويكند</t>
  </si>
  <si>
    <t xml:space="preserve">IG carousel, X thread</t>
  </si>
  <si>
    <t xml:space="preserve">Every Thursday 19:30</t>
  </si>
  <si>
    <t xml:space="preserve">What's on this weekend in Riyadh and nearby, with one tip per event. A habit-forming, save-and-share format.</t>
  </si>
  <si>
    <t xml:space="preserve">Concierge Confessions / من دفتر الكونسيرج</t>
  </si>
  <si>
    <t xml:space="preserve">IG Reel</t>
  </si>
  <si>
    <t xml:space="preserve">Storytime about a real (anonymised) case. Calm, human, a little funny.</t>
  </si>
  <si>
    <t xml:space="preserve">Behind the Curtain / خلف الستارة</t>
  </si>
  <si>
    <t xml:space="preserve">IG Reel, TikTok</t>
  </si>
  <si>
    <t xml:space="preserve">Event builds, show-caller POV, crew. The craft gap among event companies.</t>
  </si>
  <si>
    <t xml:space="preserve">Europe in Winter / شتاء أوروبا</t>
  </si>
  <si>
    <t xml:space="preserve">IG Reel, TikTok, X</t>
  </si>
  <si>
    <t xml:space="preserve">Weekly in Nov-Jan</t>
  </si>
  <si>
    <t xml:space="preserve">Winter markets, visas and itineraries for the mid-year break.</t>
  </si>
  <si>
    <t xml:space="preserve">LinkedIn document</t>
  </si>
  <si>
    <t xml:space="preserve">One practical B2B lesson: timelines, checklists, policy clauses.</t>
  </si>
  <si>
    <t xml:space="preserve">LinkedIn + IG Story</t>
  </si>
  <si>
    <t xml:space="preserve">Monthly</t>
  </si>
  <si>
    <t xml:space="preserve">A team member spotlight. The people behind the plan.</t>
  </si>
  <si>
    <t xml:space="preserve">Umrah, Step by Step / العمرة خطوة بخطوة</t>
  </si>
  <si>
    <t xml:space="preserve">TikTok, IG</t>
  </si>
  <si>
    <t xml:space="preserve">Weekly from 29 Nov</t>
  </si>
  <si>
    <t xml:space="preserve">Calm, respectful explainers ahead of Rajab and Ramadan. No music, no hard sell.</t>
  </si>
  <si>
    <t xml:space="preserve">Brand voice, design and profile guidelines</t>
  </si>
  <si>
    <t xml:space="preserve">Voice &amp; copy</t>
  </si>
  <si>
    <t xml:space="preserve">Guideline</t>
  </si>
  <si>
    <t xml:space="preserve">We sound like</t>
  </si>
  <si>
    <t xml:space="preserve">A calm, capable host who has already thought of it. Warm, short, specific. Saudi dialect on TikTok and X, polished Arabic on IG, clear English on LinkedIn.</t>
  </si>
  <si>
    <t xml:space="preserve">We say</t>
  </si>
  <si>
    <t xml:space="preserve">'Say it once. We'll take it from there.' · 'One call. Everything moves.' · 'Every horizon, within reach.' · كل أفق، في متناولك · قلها مرة… والباقي علينا</t>
  </si>
  <si>
    <t xml:space="preserve">We never</t>
  </si>
  <si>
    <t xml:space="preserve">Flex wealth or price tags (GAMR rules, Sep 2025) · joke about airports, flights or safety · promise visa approvals · use clickbait we can't back up · mock anyone · post children's faces or domestic workers</t>
  </si>
  <si>
    <t xml:space="preserve">Hooks that work</t>
  </si>
  <si>
    <t xml:space="preserve">A number + a promise ('5 things nobody tells you…') · a POV · a question the viewer has asked themselves ('Schengen for 5 years?') · a sound-first ASMR open · a relatable moment ('Last day before the break')</t>
  </si>
  <si>
    <t xml:space="preserve">Captions</t>
  </si>
  <si>
    <t xml:space="preserve">Line 1 = the keyword + the hook. 2-4 short lines. One CTA. Emojis as punctuation, max 3. Arabic first, English after a line break on IG.</t>
  </si>
  <si>
    <t xml:space="preserve">CTAs (rotate)</t>
  </si>
  <si>
    <t xml:space="preserve">Save it · Send it to your travel buddy · Comment your destination · WhatsApp '11' / '🤍' / 'عمرة' · Tag who you're taking</t>
  </si>
  <si>
    <t xml:space="preserve">Design</t>
  </si>
  <si>
    <t xml:space="preserve">Colours</t>
  </si>
  <si>
    <t xml:space="preserve">Brand green #1E352D (backgrounds) · Sand #E9E2D8 (light backgrounds) · Gold #D9B77A (accents, numbers, one highlight per post) · Ink #0F1A16. One accent per design.</t>
  </si>
  <si>
    <t xml:space="preserve">Type</t>
  </si>
  <si>
    <t xml:space="preserve">Latin: Inter Tight (headlines, tight tracking) + Instrument Serif italic (one emphasised word). Arabic: IBM Plex Sans Arabic (body) + Reem Kufi (display words). Aref Ruqaa for signatures and quotes only.</t>
  </si>
  <si>
    <t xml:space="preserve">Poster text</t>
  </si>
  <si>
    <t xml:space="preserve">Max 7 words in the headline. One idea per slide. Arabic headline larger than English. Min 48px body text at 1080 wide.</t>
  </si>
  <si>
    <t xml:space="preserve">Logo</t>
  </si>
  <si>
    <t xml:space="preserve">The symbol (sun) bottom-centre or bottom-right on statics, small. Full logo only on cover slides and end cards. Never on Reels' first frame.</t>
  </si>
  <si>
    <t xml:space="preserve">Photography</t>
  </si>
  <si>
    <t xml:space="preserve">Real, warm, natural light. People from behind or in silhouette when showing families. Modest dress in every shot. No stock-looking handshakes.</t>
  </si>
  <si>
    <t xml:space="preserve">Video</t>
  </si>
  <si>
    <t xml:space="preserve">9:16, 1080x1920, captions burned in (Arabic + English on IG). First frame = the hook text. Grade: warm sand highlights, deep green shadows.</t>
  </si>
  <si>
    <t xml:space="preserve">Sizes</t>
  </si>
  <si>
    <t xml:space="preserve">Reels/TikTok/Stories 1080x1920 · IG feed 1080x1350 (4:5) or 1080x1440 (3:4) · LinkedIn documents 1080x1350 per page · X images 1600x900 or 1080x1350.</t>
  </si>
  <si>
    <t xml:space="preserve">Templates to build first</t>
  </si>
  <si>
    <t xml:space="preserve">Weekend Radar (cover + event card) · Visa in 60 (end card) · One Call (split-screen frame) · Offer poster · Quote card · Checklist poster · LinkedIn document master.</t>
  </si>
  <si>
    <t xml:space="preserve">Instagram Stories</t>
  </si>
  <si>
    <t xml:space="preserve">Daily pattern</t>
  </si>
  <si>
    <t xml:space="preserve">Ask Mada: question box ('Ask us anything about your next trip'). Answer in Stories through the week.</t>
  </si>
  <si>
    <t xml:space="preserve">Poll or quiz on a visa or destination fact (from the week's Visa in 60).</t>
  </si>
  <si>
    <t xml:space="preserve">Behind the scenes: the office, a confirmation, a supplier call (screens blurred).</t>
  </si>
  <si>
    <t xml:space="preserve">This-or-that destination sticker + a link sticker to WhatsApp.</t>
  </si>
  <si>
    <t xml:space="preserve">Weekend Radar: the event cards as Stories + a countdown for the weekend's main event.</t>
  </si>
  <si>
    <t xml:space="preserve">Calm Friday: one beautiful shot, Jumu'ah greeting after prayer, no selling.</t>
  </si>
  <si>
    <t xml:space="preserve">Client stories: reshare tagged trips (with permission) + a 'where to next?' sticker.</t>
  </si>
  <si>
    <t xml:space="preserve">Profile</t>
  </si>
  <si>
    <t xml:space="preserve">Display name</t>
  </si>
  <si>
    <t xml:space="preserve">Bio</t>
  </si>
  <si>
    <t xml:space="preserve">Note</t>
  </si>
  <si>
    <t xml:space="preserve">مادا | Mada Trips</t>
  </si>
  <si>
    <t xml:space="preserve">سفر · فنادق · تأشيرات · فعاليات من الرياض ✈️
قلها مرة… والباقي علينا
Travel · Visas · Events · Riyadh
👇 واتساب</t>
  </si>
  <si>
    <t xml:space="preserve">Name field carries keywords: 'مادا للسفر | Mada Trips Riyadh'</t>
  </si>
  <si>
    <t xml:space="preserve">مادا للسفر</t>
  </si>
  <si>
    <t xml:space="preserve">نخطط لك السفر والفيزا والفعاليات 🇸🇦
قلها مرة… والباقي علينا 👇</t>
  </si>
  <si>
    <t xml:space="preserve">Username: @madatrips (secure the same handle everywhere)</t>
  </si>
  <si>
    <t xml:space="preserve">سفر، تذاكر، فنادق، تأشيرات، فعاليات، كوادر وتقنية. من الرياض لكل أفق. واتساب ‎+966 56 668 2662</t>
  </si>
  <si>
    <t xml:space="preserve">Pin the launch post, then the current offer</t>
  </si>
  <si>
    <t xml:space="preserve">Mada Trips</t>
  </si>
  <si>
    <t xml:space="preserve">One partner for everything that moves: corporate travel, delegations, events, manpower, specialist supply and IT. Riyadh, KSA.</t>
  </si>
  <si>
    <t xml:space="preserve">Tagline + the 9 services under 'Specialties' for search</t>
  </si>
  <si>
    <t xml:space="preserve">Keyword bank (search on TikTok, Instagram and Google)</t>
  </si>
  <si>
    <t xml:space="preserve">• Search volumes for Arabic terms weren't available. Validate every cluster before posting: TikTok search autocomplete + 'Others searched for', TikTok Creative Center (region: Saudi Arabia) and Google Trends (geo: SA).</t>
  </si>
  <si>
    <t xml:space="preserve">• Use one main keyword per post in four places: spoken in the first 3 seconds, on screen, in caption line 1, and in 1-2 of the 5 hashtags.</t>
  </si>
  <si>
    <t xml:space="preserve">• Spell it the way people search, which is often colloquial: 'وش اسوي بالرياض', not formal Arabic.</t>
  </si>
  <si>
    <t xml:space="preserve">• Put keywords in the profile name field too (e.g. 'مادا للسفر | Mada Trips Riyadh').</t>
  </si>
  <si>
    <t xml:space="preserve">Cluster</t>
  </si>
  <si>
    <t xml:space="preserve">Arabic keywords</t>
  </si>
  <si>
    <t xml:space="preserve">English keywords</t>
  </si>
  <si>
    <t xml:space="preserve">Visas</t>
  </si>
  <si>
    <t xml:space="preserve">تأشيرة شنغن · فيزا شنغن للسعوديين · شنغن ٥ سنوات · مواعيد السفارة · اوراق الفيزا · ETA بريطانيا · فيزا امريكا · بدون فيزا للسعوديين</t>
  </si>
  <si>
    <t xml:space="preserve">Schengen visa Saudi · UK ETA Saudi · US visa Riyadh</t>
  </si>
  <si>
    <t xml:space="preserve">Breaks &amp; deals</t>
  </si>
  <si>
    <t xml:space="preserve">اجازة الخريف · وين نسافر في الاجازة · رحلات قريبة من الرياض · عروض سفر · عروض طيران · باقات سياحية · الجمعة البيضاء عروض سفر</t>
  </si>
  <si>
    <t xml:space="preserve">autumn break Saudi · White Friday travel deals</t>
  </si>
  <si>
    <t xml:space="preserve">Domestic</t>
  </si>
  <si>
    <t xml:space="preserve">العلا · سماء العلا · منطاد العلا · برنامج العلا ٣ ايام · ابها والسودة · البحر الاحمر · الدرعية · كشتة · مخيمات الرياض · حافة العالم</t>
  </si>
  <si>
    <t xml:space="preserve">things to do in AlUla · AlUla Skies · Red Sea resorts · desert camping Riyadh</t>
  </si>
  <si>
    <t xml:space="preserve">Riyadh Season</t>
  </si>
  <si>
    <t xml:space="preserve">موسم الرياض ٢٠٢٦ · بوليفارد وورلد · فعاليات الرياض هالويكند · وش اسوي بالرياض · موسم الرياض للعائلات</t>
  </si>
  <si>
    <t xml:space="preserve">Riyadh Season 2026 · Riyadh this weekend</t>
  </si>
  <si>
    <t xml:space="preserve">Abroad</t>
  </si>
  <si>
    <t xml:space="preserve">سفر اوروبا شتاء · فيينا في الشتاء · لندن في الشتاء · جورجيا في الشتاء · مسقط سياحة · باكو · تبليسي</t>
  </si>
  <si>
    <t xml:space="preserve">Europe winter trip · Vienna Christmas market · Winter Wonderland London</t>
  </si>
  <si>
    <t xml:space="preserve">Umrah</t>
  </si>
  <si>
    <t xml:space="preserve">باقات عمرة · عمرة رجب · عمرة رمضان · تصريح عمرة نسك · فنادق قريبة من الحرم</t>
  </si>
  <si>
    <t xml:space="preserve">Umrah package from Riyadh · Umrah permit Nusuk</t>
  </si>
  <si>
    <t xml:space="preserve">B2B (LinkedIn)</t>
  </si>
  <si>
    <t xml:space="preserve">تنظيم فعاليات الرياض · توريد عمالة · خدمات الأعمال</t>
  </si>
  <si>
    <t xml:space="preserve">corporate travel Saudi Arabia · event management Riyadh · MICE Saudi Arabia · manpower supply KSA · delegation management</t>
  </si>
  <si>
    <t xml:space="preserve">Competitor analysis</t>
  </si>
  <si>
    <t xml:space="preserve">Follower counts are approximate. Instagram and TikTok analytics are login-gated, so verify by hand before quoting.</t>
  </si>
  <si>
    <t xml:space="preserve">Brand</t>
  </si>
  <si>
    <t xml:space="preserve">Handles</t>
  </si>
  <si>
    <t xml:space="preserve">Size (approx.)</t>
  </si>
  <si>
    <t xml:space="preserve">Style</t>
  </si>
  <si>
    <t xml:space="preserve">What wins</t>
  </si>
  <si>
    <t xml:space="preserve">Gap for Mada</t>
  </si>
  <si>
    <t xml:space="preserve">Almosafer (Seera)</t>
  </si>
  <si>
    <t xml:space="preserve">@almosafer · @almosafertravel_sa</t>
  </si>
  <si>
    <t xml:space="preserve">~154K IG on the regional account (HypeAuditor); main accounts larger</t>
  </si>
  <si>
    <t xml:space="preserve">Polished, family, mostly Modern Standard Arabic. Deals, seasonal moments, rare emotional brand films.</t>
  </si>
  <si>
    <t xml:space="preserve">'Stories of Mecca' (87M organic views), 'As Far As We Go' (8M views in a week).</t>
  </si>
  <si>
    <t xml:space="preserve">Transactional day to day. No human advisor on camera. No B2B voice.</t>
  </si>
  <si>
    <t xml:space="preserve">Wego / Flyin / Rehlat</t>
  </si>
  <si>
    <t xml:space="preserve">@wego_arabic · @flyin · @rehlat</t>
  </si>
  <si>
    <t xml:space="preserve">Unverified (likely hundreds of thousands)</t>
  </si>
  <si>
    <t xml:space="preserve">Bright, promotional, price hacks and app promos.</t>
  </si>
  <si>
    <t xml:space="preserve">Price authority, 'cheapest time to fly' content.</t>
  </si>
  <si>
    <t xml:space="preserve">Commoditised and interchangeable. No premium tier, little Umrah depth.</t>
  </si>
  <si>
    <t xml:space="preserve">Saudia</t>
  </si>
  <si>
    <t xml:space="preserve">@saudi_airlines</t>
  </si>
  <si>
    <t xml:space="preserve">Very large on X (unverified)</t>
  </si>
  <si>
    <t xml:space="preserve">Institutional. Product-as-campaign.</t>
  </si>
  <si>
    <t xml:space="preserve">Cannes Lions 2026: 'Let It Fly' (39K stickers redeemed in 22 countries), 'The Coolest Ihram' (237M impressions).</t>
  </si>
  <si>
    <t xml:space="preserve">X is mostly complaints. Impersonal. Lesson: a celebrity who doesn't fit the culture can backfire.</t>
  </si>
  <si>
    <t xml:space="preserve">flynas</t>
  </si>
  <si>
    <t xml:space="preserve">@flynas</t>
  </si>
  <si>
    <t xml:space="preserve">Unverified</t>
  </si>
  <si>
    <t xml:space="preserve">Friendly, value-led, creator-powered.</t>
  </si>
  <si>
    <t xml:space="preserve">'People's Lens': creators produce Saudi destination content in exchange for flights.</t>
  </si>
  <si>
    <t xml:space="preserve">Low-cost image.</t>
  </si>
  <si>
    <t xml:space="preserve">Riyadh Air</t>
  </si>
  <si>
    <t xml:space="preserve">@riyadhair</t>
  </si>
  <si>
    <t xml:space="preserve">Large, built before the first flight (unverified)</t>
  </si>
  <si>
    <t xml:space="preserve">Premium, bilingual, cinematic. The CEO and employees as faces.</t>
  </si>
  <si>
    <t xml:space="preserve">TikTok Ad Awards 2025 'Best of Visionary Marketing'. Built anticipation from zero.</t>
  </si>
  <si>
    <t xml:space="preserve">Aspirational, not service. The benchmark for a new brand: craft + people + anticipation.</t>
  </si>
  <si>
    <t xml:space="preserve">Visit Saudi · AlUla · Riyadh Season</t>
  </si>
  <si>
    <t xml:space="preserve">@visitsaudi · @experiencealula · @riyadhseason</t>
  </si>
  <si>
    <t xml:space="preserve">Very large (government)</t>
  </si>
  <si>
    <t xml:space="preserve">Glossy, celebrities, cinematic places, hype announcements.</t>
  </si>
  <si>
    <t xml:space="preserve">Visit Saudi's TikTok Branded Search Hub (18M interactions). Riyadh Season's viral launch films.</t>
  </si>
  <si>
    <t xml:space="preserve">They create demand but never answer 'how do I do this easily?'. Mada converts their demand.</t>
  </si>
  <si>
    <t xml:space="preserve">MDLBEAST</t>
  </si>
  <si>
    <t xml:space="preserve">@mdlbeast</t>
  </si>
  <si>
    <t xml:space="preserve">+29.7K followers in one Soundstorm cycle</t>
  </si>
  <si>
    <t xml:space="preserve">Youth, real-time hype, BTS, English with slang.</t>
  </si>
  <si>
    <t xml:space="preserve">Soundstorm 2024: 42.3M reach. 'Inner Sounds' TikTok effect.</t>
  </si>
  <si>
    <t xml:space="preserve">Niche audience. Soundstorm 2026 is cancelled.</t>
  </si>
  <si>
    <t xml:space="preserve">Corporate event &amp; manpower firms (Sela, Pico, Maharah…)</t>
  </si>
  <si>
    <t xml:space="preserve">LinkedIn-first</t>
  </si>
  <si>
    <t xml:space="preserve">Maharah ~71K on LinkedIn</t>
  </si>
  <si>
    <t xml:space="preserve">'Proud to have delivered…' posts, milestones, portfolio grids.</t>
  </si>
  <si>
    <t xml:space="preserve">Credentials and scale.</t>
  </si>
  <si>
    <t xml:space="preserve">Nobody teaches. Nobody shows the craft. Nobody bundles event + travel + visas for delegates.</t>
  </si>
  <si>
    <t xml:space="preserve">Global benchmarks</t>
  </si>
  <si>
    <t xml:space="preserve">Ryanair · Booking.com · Emirates · Qatar Airways</t>
  </si>
  <si>
    <t xml:space="preserve">Millions</t>
  </si>
  <si>
    <t xml:space="preserve">Ryanair: speed and trend-native meme. Booking: always-on trend team + micro-creators as producers. Emirates: hero product.</t>
  </si>
  <si>
    <t xml:space="preserve">Speed, native formats, creators as production.</t>
  </si>
  <si>
    <t xml:space="preserve">Copy the speed, not Ryanair's tone, which is off-brand for premium.</t>
  </si>
  <si>
    <t xml:space="preserve">White space for Mada</t>
  </si>
  <si>
    <t xml:space="preserve">How we take it</t>
  </si>
  <si>
    <t xml:space="preserve">A face and a phone number</t>
  </si>
  <si>
    <t xml:space="preserve">Recurring concierges on camera (One Call, Concierge Confessions, Day in the Life). No Saudi OTA does this.</t>
  </si>
  <si>
    <t xml:space="preserve">The how, not just the wow</t>
  </si>
  <si>
    <t xml:space="preserve">Visit Saudi and Riyadh Season sell the dream. We show how it happens effortlessly: tickets, transfers, the 2am rebooking.</t>
  </si>
  <si>
    <t xml:space="preserve">From hype to here</t>
  </si>
  <si>
    <t xml:space="preserve">When a big event drops, post a same-day 'how to go, properly' piece within 24 hours.</t>
  </si>
  <si>
    <t xml:space="preserve">Umrah with dignity</t>
  </si>
  <si>
    <t xml:space="preserve">Calm, educational, respectful Umrah content. Competitors are either flyer-like or institutional.</t>
  </si>
  <si>
    <t xml:space="preserve">A B2B teacher</t>
  </si>
  <si>
    <t xml:space="preserve">Field Notes on LinkedIn: delegations, MICE, manpower steps. Corporate peers only post milestones.</t>
  </si>
  <si>
    <t xml:space="preserve">The Horizon Card</t>
  </si>
  <si>
    <t xml:space="preserve">A small signature gesture (a calligraphy welcome card, an elders' travel kit) that becomes shareable content, at a boutique scale like Saudia's product-as-campaign ideas.</t>
  </si>
  <si>
    <t xml:space="preserve">Snapchat (recommended)</t>
  </si>
  <si>
    <t xml:space="preserve">Snapchat reaches 89% of Saudi adults (25.3M). It isn't in the brief, but secure @madatrips and repost vertical videos there at minimum.</t>
  </si>
  <si>
    <t xml:space="preserve">Moments calendar: Nov 2026 with Dec-Feb teasers</t>
  </si>
  <si>
    <t xml:space="preserve">Moment</t>
  </si>
  <si>
    <t xml:space="preserve">How we use it</t>
  </si>
  <si>
    <t xml:space="preserve">21 Oct - end Dec</t>
  </si>
  <si>
    <t xml:space="preserve">Riyadh Season 2026 'Big Time' (Boulevard World, Boulevard City, Wonder Garden, The Groves, Farmers' Market, Ana Arabia @ VIA Riyadh)</t>
  </si>
  <si>
    <t xml:space="preserve">Riyadh</t>
  </si>
  <si>
    <t xml:space="preserve">Weekend Radar anchor all month</t>
  </si>
  <si>
    <t xml:space="preserve">Confirmed</t>
  </si>
  <si>
    <t xml:space="preserve">26-29 Oct</t>
  </si>
  <si>
    <t xml:space="preserve">FII10, 'The Power of Legacy'</t>
  </si>
  <si>
    <t xml:space="preserve">KAICC Riyadh</t>
  </si>
  <si>
    <t xml:space="preserve">LinkedIn delegate checklist (3 Nov)</t>
  </si>
  <si>
    <t xml:space="preserve">3 Nov</t>
  </si>
  <si>
    <t xml:space="preserve">British Airways' planned limited Riyadh restart</t>
  </si>
  <si>
    <t xml:space="preserve">RUH</t>
  </si>
  <si>
    <t xml:space="preserve">Only confirmed route updates</t>
  </si>
  <si>
    <t xml:space="preserve">Planned</t>
  </si>
  <si>
    <t xml:space="preserve">6-15 Nov</t>
  </si>
  <si>
    <t xml:space="preserve">AlUla Skies Festival: balloons, glow shows, stargazing</t>
  </si>
  <si>
    <t xml:space="preserve">AlUla</t>
  </si>
  <si>
    <t xml:space="preserve">Top domestic trip of the month</t>
  </si>
  <si>
    <t xml:space="preserve">7 Nov</t>
  </si>
  <si>
    <t xml:space="preserve">Riyadh Season Stadium, KAFD</t>
  </si>
  <si>
    <t xml:space="preserve">Event-night tips, atmosphere</t>
  </si>
  <si>
    <t xml:space="preserve">7-12 Nov</t>
  </si>
  <si>
    <t xml:space="preserve">Moonless skies (new moon 9 Nov)</t>
  </si>
  <si>
    <t xml:space="preserve">Desert / AlUla</t>
  </si>
  <si>
    <t xml:space="preserve">Stargazing content</t>
  </si>
  <si>
    <t xml:space="preserve">Astronomical</t>
  </si>
  <si>
    <t xml:space="preserve">11 Nov</t>
  </si>
  <si>
    <t xml:space="preserve">11.11 Singles Day · ~1 Jumada al-Akhirah 1448</t>
  </si>
  <si>
    <t xml:space="preserve">Online</t>
  </si>
  <si>
    <t xml:space="preserve">11 upgrades offer</t>
  </si>
  <si>
    <t xml:space="preserve">13 Nov</t>
  </si>
  <si>
    <t xml:space="preserve">Global</t>
  </si>
  <si>
    <t xml:space="preserve">Horizon Card launch</t>
  </si>
  <si>
    <t xml:space="preserve">15 Nov</t>
  </si>
  <si>
    <t xml:space="preserve">Leonid meteor shower peak</t>
  </si>
  <si>
    <t xml:space="preserve">Desert</t>
  </si>
  <si>
    <t xml:space="preserve">Night-sky Reels</t>
  </si>
  <si>
    <t xml:space="preserve">16 Nov</t>
  </si>
  <si>
    <t xml:space="preserve">International Day for Tolerance</t>
  </si>
  <si>
    <t xml:space="preserve">Saudi hospitality guide</t>
  </si>
  <si>
    <t xml:space="preserve">16-19 Nov</t>
  </si>
  <si>
    <t xml:space="preserve">Cityscape Global 2026 (12:00-22:00, 18+)</t>
  </si>
  <si>
    <t xml:space="preserve">RECC Malham</t>
  </si>
  <si>
    <t xml:space="preserve">B2B logistics</t>
  </si>
  <si>
    <t xml:space="preserve">18 Nov</t>
  </si>
  <si>
    <t xml:space="preserve">Lufthansa's planned Riyadh return</t>
  </si>
  <si>
    <t xml:space="preserve">Conditional routes update</t>
  </si>
  <si>
    <t xml:space="preserve">19 Nov</t>
  </si>
  <si>
    <t xml:space="preserve">Hyde Park Winter Wonderland opens</t>
  </si>
  <si>
    <t xml:space="preserve">London</t>
  </si>
  <si>
    <t xml:space="preserve">Europe in Winter + UK ETA</t>
  </si>
  <si>
    <t xml:space="preserve">20-28 Nov</t>
  </si>
  <si>
    <t xml:space="preserve">School autumn break (Riyadh may add 29 Nov)</t>
  </si>
  <si>
    <t xml:space="preserve">KSA</t>
  </si>
  <si>
    <t xml:space="preserve">Biggest family-travel push</t>
  </si>
  <si>
    <t xml:space="preserve">Confirmed (29 Nov TBC)</t>
  </si>
  <si>
    <t xml:space="preserve">20 Nov</t>
  </si>
  <si>
    <t xml:space="preserve">Oman National Day · World Children's Day</t>
  </si>
  <si>
    <t xml:space="preserve">Oman</t>
  </si>
  <si>
    <t xml:space="preserve">Muscat 48h</t>
  </si>
  <si>
    <t xml:space="preserve">26 Nov</t>
  </si>
  <si>
    <t xml:space="preserve">Strasbourg winter market opens</t>
  </si>
  <si>
    <t xml:space="preserve">France</t>
  </si>
  <si>
    <t xml:space="preserve">27 Nov</t>
  </si>
  <si>
    <t xml:space="preserve">Main offer of the month</t>
  </si>
  <si>
    <t xml:space="preserve">27-29 Nov</t>
  </si>
  <si>
    <t xml:space="preserve">F1 Qatar Grand Prix</t>
  </si>
  <si>
    <t xml:space="preserve">Lusail, Doha</t>
  </si>
  <si>
    <t xml:space="preserve">Short-haul sports trip</t>
  </si>
  <si>
    <t xml:space="preserve">Check (regional uncertainty)</t>
  </si>
  <si>
    <t xml:space="preserve">30 Nov</t>
  </si>
  <si>
    <t xml:space="preserve">Cyber Monday · schools return</t>
  </si>
  <si>
    <t xml:space="preserve">Last call + December preview</t>
  </si>
  <si>
    <t xml:space="preserve">2-6 Dec</t>
  </si>
  <si>
    <t xml:space="preserve">UAE National Day (2-3) · F1 Abu Dhabi (4-6)</t>
  </si>
  <si>
    <t xml:space="preserve">UAE</t>
  </si>
  <si>
    <t xml:space="preserve">December teaser</t>
  </si>
  <si>
    <t xml:space="preserve">~10 Dec</t>
  </si>
  <si>
    <t xml:space="preserve">1 Rajab 1448: Umrah planning season</t>
  </si>
  <si>
    <t xml:space="preserve">Makkah</t>
  </si>
  <si>
    <t xml:space="preserve">Umrah series starts 29 Nov</t>
  </si>
  <si>
    <t xml:space="preserve">Expected (Umm al-Qura)</t>
  </si>
  <si>
    <t xml:space="preserve">18-19 Dec</t>
  </si>
  <si>
    <t xml:space="preserve">Formula E Jeddah E-Prix (season opener)</t>
  </si>
  <si>
    <t xml:space="preserve">Jeddah</t>
  </si>
  <si>
    <t xml:space="preserve">27-30 Dec</t>
  </si>
  <si>
    <t xml:space="preserve">Six Kings Slam (moved from October)</t>
  </si>
  <si>
    <t xml:space="preserve">ANB Arena Riyadh</t>
  </si>
  <si>
    <t xml:space="preserve">31 Dec</t>
  </si>
  <si>
    <t xml:space="preserve">China's visa-free entry for Saudis ends (unless extended)</t>
  </si>
  <si>
    <t xml:space="preserve">China</t>
  </si>
  <si>
    <t xml:space="preserve">'Use it before year end'</t>
  </si>
  <si>
    <t xml:space="preserve">8 Jan 2027</t>
  </si>
  <si>
    <t xml:space="preserve">Mid-year school break begins</t>
  </si>
  <si>
    <t xml:space="preserve">Tease all December</t>
  </si>
  <si>
    <t xml:space="preserve">~8 Feb 2027</t>
  </si>
  <si>
    <t xml:space="preserve">Ramadan 1448</t>
  </si>
  <si>
    <t xml:space="preserve">Umrah, book early</t>
  </si>
  <si>
    <t xml:space="preserve">Expected</t>
  </si>
  <si>
    <t xml:space="preserve">Cancelled / moved / unconfirmed: don't promote</t>
  </si>
  <si>
    <t xml:space="preserve">• Red Sea International Film Festival 2026 (postponed to Q4 2027)</t>
  </si>
  <si>
    <t xml:space="preserve">• MDLBEAST Soundstorm 2026 (cancelled)</t>
  </si>
  <si>
    <t xml:space="preserve">• Formula E Diriyah (moved to Jeddah, 18-19 Dec)</t>
  </si>
  <si>
    <t xml:space="preserve">• Riyadh Comedy Festival (no 2026 edition announced)</t>
  </si>
  <si>
    <t xml:space="preserve">• Joy Awards 2027 (reported cancelled, not yet official)</t>
  </si>
  <si>
    <t xml:space="preserve">• Noor Riyadh, Winter at Tantora, Jeddah &amp; Diriyah Seasons: 2026 dates not announced</t>
  </si>
  <si>
    <t xml:space="preserve">KPIs and tracking</t>
  </si>
  <si>
    <t xml:space="preserve">Targets for month one, set against published benchmarks. The live columns read the Calendar results.</t>
  </si>
  <si>
    <t xml:space="preserve">KPI</t>
  </si>
  <si>
    <t xml:space="preserve">Month-1 target</t>
  </si>
  <si>
    <t xml:space="preserve">Benchmark / why</t>
  </si>
  <si>
    <t xml:space="preserve">Instagram engagement rate (by followers)</t>
  </si>
  <si>
    <t xml:space="preserve">≥ 1.0%</t>
  </si>
  <si>
    <t xml:space="preserve">Travel &amp; hospitality averages 0.4% (Dash Social, H2 2025). All-industry 0.45-0.48% (Socialinsider 2026).</t>
  </si>
  <si>
    <t xml:space="preserve">Instagram saves + sends per reach</t>
  </si>
  <si>
    <t xml:space="preserve">≥ 3% on carousels</t>
  </si>
  <si>
    <t xml:space="preserve">Instagram ranks on sends per reach and watch time (Mosseri, Jan 2025).</t>
  </si>
  <si>
    <t xml:space="preserve">TikTok engagement rate</t>
  </si>
  <si>
    <t xml:space="preserve">≥ 4%</t>
  </si>
  <si>
    <t xml:space="preserve">Travel averages 3.5% (Dash Social, H2 2025).</t>
  </si>
  <si>
    <t xml:space="preserve">TikTok 3-second hold</t>
  </si>
  <si>
    <t xml:space="preserve">≥ 35%</t>
  </si>
  <si>
    <t xml:space="preserve">20-35% is average, 35-50% good (vendor benchmark).</t>
  </si>
  <si>
    <t xml:space="preserve">Average watch % (Reels/TikTok)</t>
  </si>
  <si>
    <t xml:space="preserve">≥ 50% on videos under 30s</t>
  </si>
  <si>
    <t xml:space="preserve">Track per hook style. Kill hooks that fall below 30%.</t>
  </si>
  <si>
    <t xml:space="preserve">X engagement rate</t>
  </si>
  <si>
    <t xml:space="preserve">≥ 0.3%</t>
  </si>
  <si>
    <t xml:space="preserve">Platform average 0.10% (Socialinsider, Jan 2026).</t>
  </si>
  <si>
    <t xml:space="preserve">LinkedIn engagement (by impressions)</t>
  </si>
  <si>
    <t xml:space="preserve">≥ 5%</t>
  </si>
  <si>
    <t xml:space="preserve">Documents 5.85-6.10% (Socialinsider 2025).</t>
  </si>
  <si>
    <t xml:space="preserve">WhatsApp conversations from social</t>
  </si>
  <si>
    <t xml:space="preserve">Track weekly</t>
  </si>
  <si>
    <t xml:space="preserve">Ask 'Where did you find us?' in the first WhatsApp reply. Keyword CTAs ('11', '🤍', 'عمرة') make it measurable.</t>
  </si>
  <si>
    <t xml:space="preserve">Search appearances</t>
  </si>
  <si>
    <t xml:space="preserve">Rank top 10 for 5 target terms</t>
  </si>
  <si>
    <t xml:space="preserve">Check TikTok search weekly for: تأشيرة شنغن, إجازة الخريف, العلا نوفمبر, رادار الويكند, باقات عمرة.</t>
  </si>
  <si>
    <t xml:space="preserve">Response time</t>
  </si>
  <si>
    <t xml:space="preserve">&lt; 1 hour (09:00-23:00)</t>
  </si>
  <si>
    <t xml:space="preserve">Comments and DMs.</t>
  </si>
  <si>
    <t xml:space="preserve">Live results by platform (from Calendar)</t>
  </si>
  <si>
    <t xml:space="preserve">Posts planned</t>
  </si>
  <si>
    <t xml:space="preserve">Posted</t>
  </si>
  <si>
    <t xml:space="preserve">Total reach</t>
  </si>
  <si>
    <t xml:space="preserve">Avg eng. rate (posted)</t>
  </si>
  <si>
    <t xml:space="preserve">Total saves</t>
  </si>
  <si>
    <t xml:space="preserve">Total shares</t>
  </si>
  <si>
    <t xml:space="preserve">Weekly workflow and sensitivity protocol</t>
  </si>
  <si>
    <t xml:space="preserve">When</t>
  </si>
  <si>
    <t xml:space="preserve">What</t>
  </si>
  <si>
    <t xml:space="preserve">Weekly planning: check the moments (events, airline news, weather), finalise the week's copy, sign-off by the brand lead.</t>
  </si>
  <si>
    <t xml:space="preserve">Monday + Wednesday</t>
  </si>
  <si>
    <t xml:space="preserve">Shoot days: batch 4-6 videos per session (concierge explainers, One Call, BTS). Use a script template with the hook, 3 beats and the CTA.</t>
  </si>
  <si>
    <t xml:space="preserve">Tuesday + Thursday</t>
  </si>
  <si>
    <t xml:space="preserve">Edit + design: templates in Canva/Figma/CapCut. Arabic proofreading by a native speaker before scheduling.</t>
  </si>
  <si>
    <t xml:space="preserve">Daily 09:00</t>
  </si>
  <si>
    <t xml:space="preserve">Check the sensitivity protocol and news, then publish. 60 minutes of community replies after every post.</t>
  </si>
  <si>
    <t xml:space="preserve">Weekly report: top 3 and bottom 3 posts, hook hold rates, saves, WhatsApp leads. Turn one winner into a second version next week.</t>
  </si>
  <si>
    <t xml:space="preserve">Approvals</t>
  </si>
  <si>
    <t xml:space="preserve">Offers (11.11, White Friday, the LinkedIn Q1 offer) need management. The founder quote needs Bader. Visa and Umrah facts need an ops check. Paid creators need a Mawthooq licence.</t>
  </si>
  <si>
    <t xml:space="preserve">Sensitivity protocol</t>
  </si>
  <si>
    <t xml:space="preserve">Every morning check the news for regional security, airport status and airline suspensions. If there's an incident: pause all scheduled posts within 30 minutes, post nothing promotional for 24-48 hours, and keep only helpful, factual posts (e.g. the 'disruption help line').</t>
  </si>
  <si>
    <t xml:space="preserve">Never joke about airports, flights or safety. Never use footage of RUH in the coming weeks.</t>
  </si>
  <si>
    <t xml:space="preserve">Never claim an airline or route is operating unless the airline has confirmed it. Link to the airline's own announcement in DMs.</t>
  </si>
  <si>
    <t xml:space="preserve">Visas and Umrah: say 'up to', 'at the embassy's discretion', 'expected (moon sighting)'. Never promise approval.</t>
  </si>
  <si>
    <t xml:space="preserve">GAMR content rules (Sep 2025): no flaunting wealth, modest dress, no children or domestic workers in lifestyle content, no mockery, no tribal or sectarian content.</t>
  </si>
  <si>
    <t xml:space="preserve">Paid creators must hold a Mawthooq licence (SAR 15,000 for 3 years). Mark paid content as an ad (#إعلان). Our own account promoting our own services is exempt.</t>
  </si>
  <si>
    <t xml:space="preserve">Discounts: follow Ministry of Commerce rules on sales claims (no fake 'was/now' prices). Real terms on every offer.</t>
  </si>
  <si>
    <t xml:space="preserve">Re-check every event date the week of posting. Several were moved or cancelled this season.</t>
  </si>
  <si>
    <t xml:space="preserve">Sources</t>
  </si>
  <si>
    <t xml:space="preserve">Research compiled 18 Oct 2026. Vendor benchmarks use different methods, so only compare figures from the same source.</t>
  </si>
  <si>
    <t xml:space="preserve">Source</t>
  </si>
  <si>
    <t xml:space="preserve">URL</t>
  </si>
  <si>
    <t xml:space="preserve">DataReportal: Digital 2026 Saudi Arabia</t>
  </si>
  <si>
    <t xml:space="preserve">https://datareportal.com/reports/digital-2026-saudi-arabia</t>
  </si>
  <si>
    <t xml:space="preserve">CST: Saudi Internet Report 2025</t>
  </si>
  <si>
    <t xml:space="preserve">https://www.cst.gov.sa/en/media-center/news/N2026071901</t>
  </si>
  <si>
    <t xml:space="preserve">AGBI: Gulf's love for Arabic content (Feb 2026)</t>
  </si>
  <si>
    <t xml:space="preserve">https://www.agbi.com/analysis/media/2026/02/gulfs-love-for-arabic-content-shields-local-tiktok</t>
  </si>
  <si>
    <t xml:space="preserve">Social Media Today: Instagram algorithm insights (Jan 2025)</t>
  </si>
  <si>
    <t xml:space="preserve">https://www.socialmediatoday.com/news/instagram-shares-algorithm-insights-2025/738034/</t>
  </si>
  <si>
    <t xml:space="preserve">Tubefilter: Instagram originality enforcement (30 Apr 2026)</t>
  </si>
  <si>
    <t xml:space="preserve">https://tubefilter.com/2026/04/30/instagram-removes-algorithm-recommendations-repost-content-aggregator</t>
  </si>
  <si>
    <t xml:space="preserve">Engadget: 3-minute Reels &amp; 3:4 grid (Jan 2025)</t>
  </si>
  <si>
    <t xml:space="preserve">https://www.engadget.com/social-media/instagram-swoops-in-with-3-minute-reels-and-rectangular-profile-grids-as-the-tiktok-ban-gets-real-201316339.html</t>
  </si>
  <si>
    <t xml:space="preserve">Instagram 5-hashtag cap (Dec 2025)</t>
  </si>
  <si>
    <t xml:space="preserve">https://inmagic.ai/how-many-hashtags-on-instagram/</t>
  </si>
  <si>
    <t xml:space="preserve">Buffer: best content formats 2026</t>
  </si>
  <si>
    <t xml:space="preserve">https://buffer.com/resources/data-best-content-format-social-media/</t>
  </si>
  <si>
    <t xml:space="preserve">Buffer: how often to post on Instagram</t>
  </si>
  <si>
    <t xml:space="preserve">https://buffer.com/resources/how-often-to-post-on-instagram/</t>
  </si>
  <si>
    <t xml:space="preserve">Socialinsider: 2026 benchmarks</t>
  </si>
  <si>
    <t xml:space="preserve">https://www.socialinsider.io/social-media-benchmarks</t>
  </si>
  <si>
    <t xml:space="preserve">Socialinsider: X benchmarks (Jan 2026)</t>
  </si>
  <si>
    <t xml:space="preserve">https://www.socialinsider.io/blog/twitter-benchmarks/</t>
  </si>
  <si>
    <t xml:space="preserve">Social Media Today: LinkedIn documents lead (Apr 2026)</t>
  </si>
  <si>
    <t xml:space="preserve">https://www.socialmediatoday.com/news/report-shows-document-posts-on-linkedin-see-more-engagement/816551/</t>
  </si>
  <si>
    <t xml:space="preserve">Dash Social: Travel &amp; hospitality benchmarks (H2 2025)</t>
  </si>
  <si>
    <t xml:space="preserve">https://www.dashsocial.com/social-media-benchmarks/travel-industry</t>
  </si>
  <si>
    <t xml:space="preserve">MediaPost: TikTok hashtag limit</t>
  </si>
  <si>
    <t xml:space="preserve">https://www.mediapost.com/publications/article/408371/tiktok-limits-hashtags-as-algorithms-become-more-s.html</t>
  </si>
  <si>
    <t xml:space="preserve">NetInfluencer: TikTok longer videos (Buffer study)</t>
  </si>
  <si>
    <t xml:space="preserve">https://www.netinfluencer.com/tiktok-longer-videos-outperform-short-form-content-study-reveals/</t>
  </si>
  <si>
    <t xml:space="preserve">VentureBeat: X open-sources its algorithm (Jan 2026)</t>
  </si>
  <si>
    <t xml:space="preserve">https://venturebeat.com/data/x-open-sources-its-algorithm-5-ways-businesses-can-benefit</t>
  </si>
  <si>
    <t xml:space="preserve">LinkedIn Newsroom: Improving the feed (2026)</t>
  </si>
  <si>
    <t xml:space="preserve">https://news.linkedin.com/2026/ImprovingTheFeed</t>
  </si>
  <si>
    <t xml:space="preserve">Communicate: TikTok Next 2026 METAP</t>
  </si>
  <si>
    <t xml:space="preserve">https://communicateonline.me/news/tiktoks-2026-forecast-flags-authenticity-emotional-value-as-key-to-middle-east-brand-growth/</t>
  </si>
  <si>
    <t xml:space="preserve">Saudipedia: Mawthooq licence</t>
  </si>
  <si>
    <t xml:space="preserve">https://saudipedia.com/en/what-is-the-mawthooq-license</t>
  </si>
  <si>
    <t xml:space="preserve">OMAAT: Saudi social media content rules (Sep 2025)</t>
  </si>
  <si>
    <t xml:space="preserve">https://onemileatatime.com/news/saudi-arabia-social-media-rules-ban-flaunting-luxury-showing-skin/</t>
  </si>
  <si>
    <t xml:space="preserve">Timetopost: TikTok Saudi Arabia (modelled)</t>
  </si>
  <si>
    <t xml:space="preserve">https://timetopost.co/best-time-to-post/tiktok/saudi-arabia/</t>
  </si>
  <si>
    <t xml:space="preserve">WARC: Almosafer 'Stories of Mecca'</t>
  </si>
  <si>
    <t xml:space="preserve">https://www.warc.com/en/article/almosafer%3A-stories-of-mecca-ae845e3a06434a00af75ca9276b88141</t>
  </si>
  <si>
    <t xml:space="preserve">Communicate: Saudia Cannes Lions 2026</t>
  </si>
  <si>
    <t xml:space="preserve">https://communicateonline.me/news/saudia-wins-three-cannes-lions-awards-for-travel-pilgrim-initiatives/</t>
  </si>
  <si>
    <t xml:space="preserve">flynas: People's Lens</t>
  </si>
  <si>
    <t xml:space="preserve">https://www.flynas.com/en/media-center/news-updates/people-lens/</t>
  </si>
  <si>
    <t xml:space="preserve">Campaign ME: Riyadh Air brand building</t>
  </si>
  <si>
    <t xml:space="preserve">https://campaignme.com/we-are-building-the-brand-from-a-blank-sheet-of-paper/</t>
  </si>
  <si>
    <t xml:space="preserve">TikTok for Business: Visit Saudi Branded Search Hub</t>
  </si>
  <si>
    <t xml:space="preserve">https://ads.tiktok.com/business/en/inspiration/visit-saudi-branded-search-hub-case-study</t>
  </si>
  <si>
    <t xml:space="preserve">Shorty Awards: MDLBEAST Soundstorm 2024</t>
  </si>
  <si>
    <t xml:space="preserve">https://shortyawards.com/17th/mdlbeast-soundstorm-2024</t>
  </si>
  <si>
    <t xml:space="preserve">HypeAuditor: @almosafertravel_sa</t>
  </si>
  <si>
    <t xml:space="preserve">https://hypeauditor.com/instagram/almosafertravel_sa/</t>
  </si>
  <si>
    <t xml:space="preserve">The National: RUH reopens, airlines still cancelling (18 Oct 2026)</t>
  </si>
  <si>
    <t xml:space="preserve">https://www.thenationalnews.com/travel/2026/10/18/riyadh-airport-reopens-which-airlines-are-still-cancelling-flights-to-saudi-arabia/</t>
  </si>
  <si>
    <t xml:space="preserve">SPA: Riyadh Season 2026</t>
  </si>
  <si>
    <t xml:space="preserve">https://www.spa.gov.sa/en/N2686677</t>
  </si>
  <si>
    <t xml:space="preserve">Arab News: AlUla Skies Festival 2026</t>
  </si>
  <si>
    <t xml:space="preserve">https://www.arabnews.pk/saudi-arabia/alula-skies-festival-returns-in-november-with-balloons-stargazing-and-night-sky-events-3002785</t>
  </si>
  <si>
    <t xml:space="preserve">WWE: Crown Jewel 2026</t>
  </si>
  <si>
    <t xml:space="preserve">https://corporate.wwe.com/about/news/2026/09-01-2026</t>
  </si>
  <si>
    <t xml:space="preserve">Cityscape Global 2026</t>
  </si>
  <si>
    <t xml:space="preserve">https://cityscapeglobal.com/welcome-to-cityscape-global-2026</t>
  </si>
  <si>
    <t xml:space="preserve">mdares (MoE calendar 1448)</t>
  </si>
  <si>
    <t xml:space="preserve">https://mdares.ai/sa-en/calendar/print</t>
  </si>
  <si>
    <t xml:space="preserve">Salla: White Friday 2026</t>
  </si>
  <si>
    <t xml:space="preserve">https://salla.com/en/tools/seasons-calendar/seasons/white-friday-2026</t>
  </si>
  <si>
    <t xml:space="preserve">islamic.app: Rajab 1448</t>
  </si>
  <si>
    <t xml:space="preserve">https://islamic.app/hijri/rajab-sacred-month/2026</t>
  </si>
  <si>
    <t xml:space="preserve">The National: Ramadan 2027 dates</t>
  </si>
  <si>
    <t xml:space="preserve">https://www.thenationalnews.com/news/uae/2026/09/09/ramadan-2027-dates-eid-al-fitr-holiday/</t>
  </si>
  <si>
    <t xml:space="preserve">FIA Formula E: Jeddah opener</t>
  </si>
  <si>
    <t xml:space="preserve">https://www.fiaformulae.com/en/news/1074658</t>
  </si>
  <si>
    <t xml:space="preserve">List Magazine: Riyadh Season events (Six Kings Slam moved)</t>
  </si>
  <si>
    <t xml:space="preserve">https://www.listmag.com/en/see-do/events-entertainment/unmissable-events-already-confirmed-for-riyadh-season-3741</t>
  </si>
  <si>
    <t xml:space="preserve">Travel Pirates: European Christmas market dates 2026</t>
  </si>
  <si>
    <t xml:space="preserve">https://www.travelpirates.com/captains-log/european-christmas-market-dates-2026</t>
  </si>
  <si>
    <t xml:space="preserve">Arab News: Schengen 5-year visa for Saudis</t>
  </si>
  <si>
    <t xml:space="preserve">https://arab.news/5aeyp</t>
  </si>
  <si>
    <t xml:space="preserve">Almatar: China visa-free for Saudis to 31 Dec 2026</t>
  </si>
  <si>
    <t xml:space="preserve">https://almatar.com/blog/?p=24141</t>
  </si>
  <si>
    <t xml:space="preserve">List Magazine: Saudi-Russia visa-free</t>
  </si>
  <si>
    <t xml:space="preserve">https://www.listmag.com/en/travel-stay/saudi-arabia-and-russia-launch-mutual-visa-free-travel-agreement-4296</t>
  </si>
  <si>
    <t xml:space="preserve">Deadline: Red Sea Film Festival 2026 cancelled</t>
  </si>
  <si>
    <t xml:space="preserve">https://deadline.com/2026/09/saudi-arabia-red-sea-film-festival-cancels-2026-edition-1237109142/</t>
  </si>
  <si>
    <t xml:space="preserve">DJ Mag: Soundstorm 2026 cancelled</t>
  </si>
  <si>
    <t xml:space="preserve">https://djmag.com/news/soundstorm-festival-cancels-2026-edition</t>
  </si>
</sst>
</file>

<file path=xl/styles.xml><?xml version="1.0" encoding="utf-8"?>
<styleSheet xmlns="http://schemas.openxmlformats.org/spreadsheetml/2006/main">
  <numFmts count="6">
    <numFmt numFmtId="164" formatCode="General"/>
    <numFmt numFmtId="165" formatCode="General"/>
    <numFmt numFmtId="166" formatCode="dd\ mmm"/>
    <numFmt numFmtId="167" formatCode="0.0%"/>
    <numFmt numFmtId="168" formatCode="0%"/>
    <numFmt numFmtId="169" formatCode="#,##0"/>
  </numFmts>
  <fonts count="17">
    <font>
      <sz val="11"/>
      <color theme="1"/>
      <name val="Calibri"/>
      <family val="2"/>
      <charset val="1"/>
    </font>
    <font>
      <sz val="10"/>
      <name val="Arial"/>
      <family val="0"/>
    </font>
    <font>
      <sz val="10"/>
      <name val="Arial"/>
      <family val="0"/>
    </font>
    <font>
      <sz val="10"/>
      <name val="Arial"/>
      <family val="0"/>
    </font>
    <font>
      <b val="true"/>
      <sz val="16"/>
      <color rgb="FF1E352D"/>
      <name val="Arial"/>
      <family val="0"/>
      <charset val="1"/>
    </font>
    <font>
      <i val="true"/>
      <sz val="10"/>
      <color rgb="FF5D7A6E"/>
      <name val="Arial"/>
      <family val="0"/>
      <charset val="1"/>
    </font>
    <font>
      <b val="true"/>
      <sz val="11"/>
      <color rgb="FF1E352D"/>
      <name val="Arial"/>
      <family val="0"/>
      <charset val="1"/>
    </font>
    <font>
      <sz val="10"/>
      <name val="Arial"/>
      <family val="0"/>
      <charset val="1"/>
    </font>
    <font>
      <b val="true"/>
      <sz val="10"/>
      <color rgb="FFFFFFFF"/>
      <name val="Arial"/>
      <family val="0"/>
      <charset val="1"/>
    </font>
    <font>
      <b val="true"/>
      <sz val="10"/>
      <name val="Arial"/>
      <family val="0"/>
      <charset val="1"/>
    </font>
    <font>
      <sz val="9"/>
      <name val="Arial"/>
      <family val="0"/>
      <charset val="1"/>
    </font>
    <font>
      <b val="true"/>
      <sz val="9"/>
      <name val="Arial"/>
      <family val="0"/>
      <charset val="1"/>
    </font>
    <font>
      <b val="true"/>
      <sz val="9"/>
      <color rgb="FFA3342B"/>
      <name val="Arial"/>
      <family val="0"/>
      <charset val="1"/>
    </font>
    <font>
      <i val="true"/>
      <sz val="9"/>
      <color rgb="FF5D7A6E"/>
      <name val="Arial"/>
      <family val="0"/>
      <charset val="1"/>
    </font>
    <font>
      <sz val="8"/>
      <name val="Arial"/>
      <family val="0"/>
      <charset val="1"/>
    </font>
    <font>
      <b val="true"/>
      <sz val="11"/>
      <color rgb="FFA3342B"/>
      <name val="Arial"/>
      <family val="0"/>
      <charset val="1"/>
    </font>
    <font>
      <u val="single"/>
      <sz val="10"/>
      <color rgb="FF1F5FAD"/>
      <name val="Arial"/>
      <family val="0"/>
      <charset val="1"/>
    </font>
  </fonts>
  <fills count="10">
    <fill>
      <patternFill patternType="none"/>
    </fill>
    <fill>
      <patternFill patternType="gray125"/>
    </fill>
    <fill>
      <patternFill patternType="solid">
        <fgColor rgb="FF1E352D"/>
        <bgColor rgb="FF333300"/>
      </patternFill>
    </fill>
    <fill>
      <patternFill patternType="solid">
        <fgColor rgb="FFF3E1EC"/>
        <bgColor rgb="FFE6E6E6"/>
      </patternFill>
    </fill>
    <fill>
      <patternFill patternType="solid">
        <fgColor rgb="FFFFF6D6"/>
        <bgColor rgb="FFFBEFD9"/>
      </patternFill>
    </fill>
    <fill>
      <patternFill patternType="solid">
        <fgColor rgb="FFDDEFF0"/>
        <bgColor rgb="FFDCE7F5"/>
      </patternFill>
    </fill>
    <fill>
      <patternFill patternType="solid">
        <fgColor rgb="FFE6E6E6"/>
        <bgColor rgb="FFDCE7F5"/>
      </patternFill>
    </fill>
    <fill>
      <patternFill patternType="solid">
        <fgColor rgb="FFDCE7F5"/>
        <bgColor rgb="FFDDEFF0"/>
      </patternFill>
    </fill>
    <fill>
      <patternFill patternType="solid">
        <fgColor rgb="FFF6F2EC"/>
        <bgColor rgb="FFFBEFD9"/>
      </patternFill>
    </fill>
    <fill>
      <patternFill patternType="solid">
        <fgColor rgb="FFFBEFD9"/>
        <bgColor rgb="FFFFF6D6"/>
      </patternFill>
    </fill>
  </fills>
  <borders count="2">
    <border diagonalUp="false" diagonalDown="false">
      <left/>
      <right/>
      <top/>
      <bottom/>
      <diagonal/>
    </border>
    <border diagonalUp="false" diagonalDown="false">
      <left style="thin">
        <color rgb="FFD8CFC1"/>
      </left>
      <right style="thin">
        <color rgb="FFD8CFC1"/>
      </right>
      <top style="thin">
        <color rgb="FFD8CFC1"/>
      </top>
      <bottom style="thin">
        <color rgb="FFD8CF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left" vertical="bottom" textRotation="0" wrapText="false" indent="0" shrinkToFit="false"/>
      <protection locked="true" hidden="false"/>
    </xf>
    <xf numFmtId="164" fontId="10" fillId="3" borderId="1" xfId="0" applyFont="true" applyBorder="true" applyAlignment="true" applyProtection="true">
      <alignment horizontal="general" vertical="top" textRotation="0" wrapText="true" indent="0" shrinkToFit="false"/>
      <protection locked="true" hidden="false"/>
    </xf>
    <xf numFmtId="166" fontId="10" fillId="3"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right" vertical="top" textRotation="0" wrapText="true" indent="0" shrinkToFit="false" readingOrder="2"/>
      <protection locked="true" hidden="false"/>
    </xf>
    <xf numFmtId="164" fontId="10" fillId="4" borderId="1" xfId="0" applyFont="true" applyBorder="true" applyAlignment="true" applyProtection="true">
      <alignment horizontal="general" vertical="top" textRotation="0" wrapText="true" indent="0" shrinkToFit="false"/>
      <protection locked="true" hidden="false"/>
    </xf>
    <xf numFmtId="167" fontId="10" fillId="0" borderId="1" xfId="0" applyFont="true" applyBorder="true" applyAlignment="true" applyProtection="true">
      <alignment horizontal="general" vertical="top" textRotation="0" wrapText="true" indent="0" shrinkToFit="false"/>
      <protection locked="true" hidden="false"/>
    </xf>
    <xf numFmtId="164" fontId="10" fillId="5" borderId="1" xfId="0" applyFont="true" applyBorder="true" applyAlignment="true" applyProtection="true">
      <alignment horizontal="general" vertical="top" textRotation="0" wrapText="true" indent="0" shrinkToFit="false"/>
      <protection locked="true" hidden="false"/>
    </xf>
    <xf numFmtId="166" fontId="10" fillId="5" borderId="1" xfId="0" applyFont="true" applyBorder="true" applyAlignment="true" applyProtection="true">
      <alignment horizontal="general" vertical="top" textRotation="0" wrapText="true" indent="0" shrinkToFit="false"/>
      <protection locked="true" hidden="false"/>
    </xf>
    <xf numFmtId="164" fontId="10" fillId="6" borderId="1" xfId="0" applyFont="true" applyBorder="true" applyAlignment="true" applyProtection="true">
      <alignment horizontal="general" vertical="top" textRotation="0" wrapText="true" indent="0" shrinkToFit="false"/>
      <protection locked="true" hidden="false"/>
    </xf>
    <xf numFmtId="166" fontId="10" fillId="6" borderId="1" xfId="0" applyFont="true" applyBorder="true" applyAlignment="true" applyProtection="true">
      <alignment horizontal="general" vertical="top" textRotation="0" wrapText="true" indent="0" shrinkToFit="false"/>
      <protection locked="true" hidden="false"/>
    </xf>
    <xf numFmtId="164" fontId="10" fillId="7" borderId="1" xfId="0" applyFont="true" applyBorder="true" applyAlignment="true" applyProtection="true">
      <alignment horizontal="general" vertical="top" textRotation="0" wrapText="true" indent="0" shrinkToFit="false"/>
      <protection locked="true" hidden="false"/>
    </xf>
    <xf numFmtId="166" fontId="10" fillId="7" borderId="1" xfId="0" applyFont="true" applyBorder="true" applyAlignment="true" applyProtection="true">
      <alignment horizontal="general" vertical="top" textRotation="0" wrapText="true" indent="0" shrinkToFit="false"/>
      <protection locked="true" hidden="false"/>
    </xf>
    <xf numFmtId="164" fontId="12" fillId="0" borderId="1" xfId="0" applyFont="true" applyBorder="tru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top" textRotation="0" wrapText="true" indent="0" shrinkToFit="false"/>
      <protection locked="true" hidden="false"/>
    </xf>
    <xf numFmtId="164" fontId="14" fillId="8" borderId="1" xfId="0" applyFont="true" applyBorder="true" applyAlignment="true" applyProtection="true">
      <alignment horizontal="general" vertical="top" textRotation="0" wrapText="true" indent="0" shrinkToFit="false"/>
      <protection locked="true" hidden="false"/>
    </xf>
    <xf numFmtId="164" fontId="14" fillId="9"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right" vertical="top" textRotation="0" wrapText="true" indent="0" shrinkToFit="false" readingOrder="2"/>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9" fontId="7" fillId="0" borderId="1" xfId="0" applyFont="true" applyBorder="true" applyAlignment="true" applyProtection="true">
      <alignment horizontal="general" vertical="bottom" textRotation="0" wrapText="false" indent="0" shrinkToFit="false"/>
      <protection locked="true" hidden="false"/>
    </xf>
    <xf numFmtId="167" fontId="7" fillId="0" borderId="1"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E352D"/>
          <bgColor rgb="FF000000"/>
        </patternFill>
      </fill>
    </dxf>
    <dxf>
      <fill>
        <patternFill patternType="solid">
          <fgColor rgb="FFDCE7F5"/>
          <bgColor rgb="FF000000"/>
        </patternFill>
      </fill>
    </dxf>
    <dxf>
      <fill>
        <patternFill patternType="solid">
          <fgColor rgb="FFDDEFF0"/>
          <bgColor rgb="FF000000"/>
        </patternFill>
      </fill>
    </dxf>
    <dxf>
      <fill>
        <patternFill patternType="solid">
          <fgColor rgb="FFE6E6E6"/>
          <bgColor rgb="FF000000"/>
        </patternFill>
      </fill>
    </dxf>
    <dxf>
      <fill>
        <patternFill patternType="solid">
          <fgColor rgb="FFF3E1EC"/>
          <bgColor rgb="FF000000"/>
        </patternFill>
      </fill>
    </dxf>
    <dxf>
      <fill>
        <patternFill patternType="solid">
          <fgColor rgb="FFFFFFFF"/>
          <bgColor rgb="FF000000"/>
        </patternFill>
      </fill>
    </dxf>
    <dxf>
      <fill>
        <patternFill patternType="solid">
          <bgColor rgb="FF000000"/>
        </patternFill>
      </fill>
    </dxf>
    <dxf>
      <fill>
        <patternFill patternType="solid">
          <fgColor rgb="FFA3342B"/>
          <bgColor rgb="FF000000"/>
        </patternFill>
      </fill>
    </dxf>
    <dxf>
      <fill>
        <patternFill patternType="solid">
          <fgColor rgb="FFFFF6D6"/>
          <bgColor rgb="FF000000"/>
        </patternFill>
      </fill>
    </dxf>
    <dxf>
      <fill>
        <patternFill>
          <bgColor rgb="FFD6EAD8"/>
        </patternFill>
      </fill>
    </dxf>
    <dxf>
      <fill>
        <patternFill>
          <bgColor rgb="FFF4D6D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CFC1"/>
      <rgbColor rgb="FF5D7A6E"/>
      <rgbColor rgb="FF9999FF"/>
      <rgbColor rgb="FF993366"/>
      <rgbColor rgb="FFFFF6D6"/>
      <rgbColor rgb="FFDDEFF0"/>
      <rgbColor rgb="FF660066"/>
      <rgbColor rgb="FFFF8080"/>
      <rgbColor rgb="FF1F5FAD"/>
      <rgbColor rgb="FFE6E6E6"/>
      <rgbColor rgb="FF000080"/>
      <rgbColor rgb="FFFF00FF"/>
      <rgbColor rgb="FFFFFF00"/>
      <rgbColor rgb="FF00FFFF"/>
      <rgbColor rgb="FF800080"/>
      <rgbColor rgb="FF800000"/>
      <rgbColor rgb="FF008080"/>
      <rgbColor rgb="FF0000FF"/>
      <rgbColor rgb="FF00CCFF"/>
      <rgbColor rgb="FFDCE7F5"/>
      <rgbColor rgb="FFD6EAD8"/>
      <rgbColor rgb="FFFBEFD9"/>
      <rgbColor rgb="FFF3E1EC"/>
      <rgbColor rgb="FFF6F2EC"/>
      <rgbColor rgb="FFCC99FF"/>
      <rgbColor rgb="FFF4D6D2"/>
      <rgbColor rgb="FF3366FF"/>
      <rgbColor rgb="FF33CCCC"/>
      <rgbColor rgb="FF99CC00"/>
      <rgbColor rgb="FFFFCC00"/>
      <rgbColor rgb="FFFF9900"/>
      <rgbColor rgb="FFFF6600"/>
      <rgbColor rgb="FF666699"/>
      <rgbColor rgb="FF969696"/>
      <rgbColor rgb="FF003366"/>
      <rgbColor rgb="FF339966"/>
      <rgbColor rgb="FF003300"/>
      <rgbColor rgb="FF333300"/>
      <rgbColor rgb="FFA3342B"/>
      <rgbColor rgb="FF993366"/>
      <rgbColor rgb="FF333399"/>
      <rgbColor rgb="FF1E35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hyperlink" Target="https://datareportal.com/reports/digital-2026-saudi-arabia" TargetMode="External"/><Relationship Id="rId2" Type="http://schemas.openxmlformats.org/officeDocument/2006/relationships/hyperlink" Target="https://www.cst.gov.sa/en/media-center/news/N2026071901" TargetMode="External"/><Relationship Id="rId3" Type="http://schemas.openxmlformats.org/officeDocument/2006/relationships/hyperlink" Target="https://www.agbi.com/analysis/media/2026/02/gulfs-love-for-arabic-content-shields-local-tiktok" TargetMode="External"/><Relationship Id="rId4" Type="http://schemas.openxmlformats.org/officeDocument/2006/relationships/hyperlink" Target="https://www.socialmediatoday.com/news/instagram-shares-algorithm-insights-2025/738034/" TargetMode="External"/><Relationship Id="rId5" Type="http://schemas.openxmlformats.org/officeDocument/2006/relationships/hyperlink" Target="https://tubefilter.com/2026/04/30/instagram-removes-algorithm-recommendations-repost-content-aggregator" TargetMode="External"/><Relationship Id="rId6" Type="http://schemas.openxmlformats.org/officeDocument/2006/relationships/hyperlink" Target="https://www.engadget.com/social-media/instagram-swoops-in-with-3-minute-reels-and-rectangular-profile-grids-as-the-tiktok-ban-gets-real-201316339.html" TargetMode="External"/><Relationship Id="rId7" Type="http://schemas.openxmlformats.org/officeDocument/2006/relationships/hyperlink" Target="https://inmagic.ai/how-many-hashtags-on-instagram/" TargetMode="External"/><Relationship Id="rId8" Type="http://schemas.openxmlformats.org/officeDocument/2006/relationships/hyperlink" Target="https://buffer.com/resources/data-best-content-format-social-media/" TargetMode="External"/><Relationship Id="rId9" Type="http://schemas.openxmlformats.org/officeDocument/2006/relationships/hyperlink" Target="https://buffer.com/resources/how-often-to-post-on-instagram/" TargetMode="External"/><Relationship Id="rId10" Type="http://schemas.openxmlformats.org/officeDocument/2006/relationships/hyperlink" Target="https://www.socialinsider.io/social-media-benchmarks" TargetMode="External"/><Relationship Id="rId11" Type="http://schemas.openxmlformats.org/officeDocument/2006/relationships/hyperlink" Target="https://www.socialinsider.io/blog/twitter-benchmarks/" TargetMode="External"/><Relationship Id="rId12" Type="http://schemas.openxmlformats.org/officeDocument/2006/relationships/hyperlink" Target="https://www.socialmediatoday.com/news/report-shows-document-posts-on-linkedin-see-more-engagement/816551/" TargetMode="External"/><Relationship Id="rId13" Type="http://schemas.openxmlformats.org/officeDocument/2006/relationships/hyperlink" Target="https://www.dashsocial.com/social-media-benchmarks/travel-industry" TargetMode="External"/><Relationship Id="rId14" Type="http://schemas.openxmlformats.org/officeDocument/2006/relationships/hyperlink" Target="https://www.mediapost.com/publications/article/408371/tiktok-limits-hashtags-as-algorithms-become-more-s.html" TargetMode="External"/><Relationship Id="rId15" Type="http://schemas.openxmlformats.org/officeDocument/2006/relationships/hyperlink" Target="https://www.netinfluencer.com/tiktok-longer-videos-outperform-short-form-content-study-reveals/" TargetMode="External"/><Relationship Id="rId16" Type="http://schemas.openxmlformats.org/officeDocument/2006/relationships/hyperlink" Target="https://venturebeat.com/data/x-open-sources-its-algorithm-5-ways-businesses-can-benefit" TargetMode="External"/><Relationship Id="rId17" Type="http://schemas.openxmlformats.org/officeDocument/2006/relationships/hyperlink" Target="https://news.linkedin.com/2026/ImprovingTheFeed" TargetMode="External"/><Relationship Id="rId18" Type="http://schemas.openxmlformats.org/officeDocument/2006/relationships/hyperlink" Target="https://communicateonline.me/news/tiktoks-2026-forecast-flags-authenticity-emotional-value-as-key-to-middle-east-brand-growth/" TargetMode="External"/><Relationship Id="rId19" Type="http://schemas.openxmlformats.org/officeDocument/2006/relationships/hyperlink" Target="https://saudipedia.com/en/what-is-the-mawthooq-license" TargetMode="External"/><Relationship Id="rId20" Type="http://schemas.openxmlformats.org/officeDocument/2006/relationships/hyperlink" Target="https://onemileatatime.com/news/saudi-arabia-social-media-rules-ban-flaunting-luxury-showing-skin/" TargetMode="External"/><Relationship Id="rId21" Type="http://schemas.openxmlformats.org/officeDocument/2006/relationships/hyperlink" Target="https://timetopost.co/best-time-to-post/tiktok/saudi-arabia/" TargetMode="External"/><Relationship Id="rId22" Type="http://schemas.openxmlformats.org/officeDocument/2006/relationships/hyperlink" Target="https://www.warc.com/en/article/almosafer%3A-stories-of-mecca-ae845e3a06434a00af75ca9276b88141" TargetMode="External"/><Relationship Id="rId23" Type="http://schemas.openxmlformats.org/officeDocument/2006/relationships/hyperlink" Target="https://communicateonline.me/news/saudia-wins-three-cannes-lions-awards-for-travel-pilgrim-initiatives/" TargetMode="External"/><Relationship Id="rId24" Type="http://schemas.openxmlformats.org/officeDocument/2006/relationships/hyperlink" Target="https://www.flynas.com/en/media-center/news-updates/people-lens/" TargetMode="External"/><Relationship Id="rId25" Type="http://schemas.openxmlformats.org/officeDocument/2006/relationships/hyperlink" Target="https://campaignme.com/we-are-building-the-brand-from-a-blank-sheet-of-paper/" TargetMode="External"/><Relationship Id="rId26" Type="http://schemas.openxmlformats.org/officeDocument/2006/relationships/hyperlink" Target="https://ads.tiktok.com/business/en/inspiration/visit-saudi-branded-search-hub-case-study" TargetMode="External"/><Relationship Id="rId27" Type="http://schemas.openxmlformats.org/officeDocument/2006/relationships/hyperlink" Target="https://shortyawards.com/17th/mdlbeast-soundstorm-2024" TargetMode="External"/><Relationship Id="rId28" Type="http://schemas.openxmlformats.org/officeDocument/2006/relationships/hyperlink" Target="https://hypeauditor.com/instagram/almosafertravel_sa/" TargetMode="External"/><Relationship Id="rId29" Type="http://schemas.openxmlformats.org/officeDocument/2006/relationships/hyperlink" Target="https://www.thenationalnews.com/travel/2026/10/18/riyadh-airport-reopens-which-airlines-are-still-cancelling-flights-to-saudi-arabia/" TargetMode="External"/><Relationship Id="rId30" Type="http://schemas.openxmlformats.org/officeDocument/2006/relationships/hyperlink" Target="https://www.spa.gov.sa/en/N2686677" TargetMode="External"/><Relationship Id="rId31" Type="http://schemas.openxmlformats.org/officeDocument/2006/relationships/hyperlink" Target="https://www.arabnews.pk/saudi-arabia/alula-skies-festival-returns-in-november-with-balloons-stargazing-and-night-sky-events-3002785" TargetMode="External"/><Relationship Id="rId32" Type="http://schemas.openxmlformats.org/officeDocument/2006/relationships/hyperlink" Target="https://corporate.wwe.com/about/news/2026/09-01-2026" TargetMode="External"/><Relationship Id="rId33" Type="http://schemas.openxmlformats.org/officeDocument/2006/relationships/hyperlink" Target="https://cityscapeglobal.com/welcome-to-cityscape-global-2026" TargetMode="External"/><Relationship Id="rId34" Type="http://schemas.openxmlformats.org/officeDocument/2006/relationships/hyperlink" Target="https://mdares.ai/sa-en/calendar/print" TargetMode="External"/><Relationship Id="rId35" Type="http://schemas.openxmlformats.org/officeDocument/2006/relationships/hyperlink" Target="https://salla.com/en/tools/seasons-calendar/seasons/white-friday-2026" TargetMode="External"/><Relationship Id="rId36" Type="http://schemas.openxmlformats.org/officeDocument/2006/relationships/hyperlink" Target="https://islamic.app/hijri/rajab-sacred-month/2026" TargetMode="External"/><Relationship Id="rId37" Type="http://schemas.openxmlformats.org/officeDocument/2006/relationships/hyperlink" Target="https://www.thenationalnews.com/news/uae/2026/09/09/ramadan-2027-dates-eid-al-fitr-holiday/" TargetMode="External"/><Relationship Id="rId38" Type="http://schemas.openxmlformats.org/officeDocument/2006/relationships/hyperlink" Target="https://www.fiaformulae.com/en/news/1074658" TargetMode="External"/><Relationship Id="rId39" Type="http://schemas.openxmlformats.org/officeDocument/2006/relationships/hyperlink" Target="https://www.listmag.com/en/see-do/events-entertainment/unmissable-events-already-confirmed-for-riyadh-season-3741" TargetMode="External"/><Relationship Id="rId40" Type="http://schemas.openxmlformats.org/officeDocument/2006/relationships/hyperlink" Target="https://www.travelpirates.com/captains-log/european-christmas-market-dates-2026" TargetMode="External"/><Relationship Id="rId41" Type="http://schemas.openxmlformats.org/officeDocument/2006/relationships/hyperlink" Target="https://arab.news/5aeyp" TargetMode="External"/><Relationship Id="rId42" Type="http://schemas.openxmlformats.org/officeDocument/2006/relationships/hyperlink" Target="https://almatar.com/blog/?p=24141" TargetMode="External"/><Relationship Id="rId43" Type="http://schemas.openxmlformats.org/officeDocument/2006/relationships/hyperlink" Target="https://www.listmag.com/en/travel-stay/saudi-arabia-and-russia-launch-mutual-visa-free-travel-agreement-4296" TargetMode="External"/><Relationship Id="rId44" Type="http://schemas.openxmlformats.org/officeDocument/2006/relationships/hyperlink" Target="https://deadline.com/2026/09/saudi-arabia-red-sea-film-festival-cancels-2026-edition-1237109142/" TargetMode="External"/><Relationship Id="rId45" Type="http://schemas.openxmlformats.org/officeDocument/2006/relationships/hyperlink" Target="https://djmag.com/news/soundstorm-festival-cancels-2026-edi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9.7" hidden="false" customHeight="false" outlineLevel="0" collapsed="false">
      <c r="A1" s="2" t="s">
        <v>0</v>
      </c>
    </row>
    <row r="2" customFormat="false" ht="15" hidden="false" customHeight="false" outlineLevel="0" collapsed="false">
      <c r="A2" s="3" t="s">
        <v>1</v>
      </c>
    </row>
    <row r="4" customFormat="false" ht="23.85" hidden="false" customHeight="false" outlineLevel="0" collapsed="false">
      <c r="A4" s="4" t="s">
        <v>2</v>
      </c>
      <c r="B4" s="5" t="s">
        <v>3</v>
      </c>
    </row>
    <row r="5" customFormat="false" ht="46.25" hidden="false" customHeight="false" outlineLevel="0" collapsed="false">
      <c r="B5" s="5" t="s">
        <v>4</v>
      </c>
    </row>
    <row r="6" customFormat="false" ht="35.05" hidden="false" customHeight="false" outlineLevel="0" collapsed="false">
      <c r="B6" s="5" t="s">
        <v>5</v>
      </c>
    </row>
    <row r="7" customFormat="false" ht="23.85" hidden="false" customHeight="false" outlineLevel="0" collapsed="false">
      <c r="B7" s="5" t="s">
        <v>6</v>
      </c>
    </row>
    <row r="9" customFormat="false" ht="15" hidden="false" customHeight="false" outlineLevel="0" collapsed="false">
      <c r="A9" s="4" t="s">
        <v>7</v>
      </c>
      <c r="B9" s="5" t="s">
        <v>8</v>
      </c>
    </row>
    <row r="10" customFormat="false" ht="23.85" hidden="false" customHeight="false" outlineLevel="0" collapsed="false">
      <c r="B10" s="5" t="s">
        <v>9</v>
      </c>
    </row>
    <row r="11" customFormat="false" ht="15" hidden="false" customHeight="false" outlineLevel="0" collapsed="false">
      <c r="B11" s="5" t="s">
        <v>10</v>
      </c>
    </row>
    <row r="12" customFormat="false" ht="15" hidden="false" customHeight="false" outlineLevel="0" collapsed="false">
      <c r="B12" s="5" t="s">
        <v>11</v>
      </c>
    </row>
    <row r="14" customFormat="false" ht="23.85" hidden="false" customHeight="false" outlineLevel="0" collapsed="false">
      <c r="A14" s="4" t="s">
        <v>12</v>
      </c>
      <c r="B14" s="5" t="s">
        <v>13</v>
      </c>
    </row>
    <row r="15" customFormat="false" ht="23.85" hidden="false" customHeight="false" outlineLevel="0" collapsed="false">
      <c r="B15" s="5" t="s">
        <v>14</v>
      </c>
    </row>
    <row r="16" customFormat="false" ht="23.85" hidden="false" customHeight="false" outlineLevel="0" collapsed="false">
      <c r="B16" s="5" t="s">
        <v>15</v>
      </c>
    </row>
    <row r="17" customFormat="false" ht="15" hidden="false" customHeight="false" outlineLevel="0" collapsed="false">
      <c r="B17" s="5" t="s">
        <v>16</v>
      </c>
    </row>
    <row r="18" customFormat="false" ht="15" hidden="false" customHeight="false" outlineLevel="0" collapsed="false">
      <c r="B18" s="5" t="s">
        <v>17</v>
      </c>
    </row>
    <row r="20" customFormat="false" ht="15" hidden="false" customHeight="false" outlineLevel="0" collapsed="false">
      <c r="A20" s="4" t="s">
        <v>18</v>
      </c>
    </row>
    <row r="21" customFormat="false" ht="15" hidden="false" customHeight="false" outlineLevel="0" collapsed="false">
      <c r="A21" s="6" t="s">
        <v>19</v>
      </c>
      <c r="B21" s="6" t="s">
        <v>20</v>
      </c>
    </row>
    <row r="22" customFormat="false" ht="15" hidden="false" customHeight="false" outlineLevel="0" collapsed="false">
      <c r="A22" s="7" t="s">
        <v>21</v>
      </c>
      <c r="B22" s="8" t="n">
        <f aca="false">COUNTIF(Calendar!$E:$E,"Instagram")</f>
        <v>35</v>
      </c>
    </row>
    <row r="23" customFormat="false" ht="15" hidden="false" customHeight="false" outlineLevel="0" collapsed="false">
      <c r="A23" s="7" t="s">
        <v>22</v>
      </c>
      <c r="B23" s="8" t="n">
        <f aca="false">COUNTIF(Calendar!$E:$E,"TikTok")</f>
        <v>34</v>
      </c>
    </row>
    <row r="24" customFormat="false" ht="15" hidden="false" customHeight="false" outlineLevel="0" collapsed="false">
      <c r="A24" s="7" t="s">
        <v>23</v>
      </c>
      <c r="B24" s="8" t="n">
        <f aca="false">COUNTIF(Calendar!$E:$E,"X")</f>
        <v>30</v>
      </c>
    </row>
    <row r="25" customFormat="false" ht="15" hidden="false" customHeight="false" outlineLevel="0" collapsed="false">
      <c r="A25" s="7" t="s">
        <v>24</v>
      </c>
      <c r="B25" s="8" t="n">
        <f aca="false">COUNTIF(Calendar!$E:$E,"LinkedIn")</f>
        <v>12</v>
      </c>
    </row>
    <row r="26" customFormat="false" ht="15" hidden="false" customHeight="false" outlineLevel="0" collapsed="false">
      <c r="A26" s="9" t="s">
        <v>25</v>
      </c>
      <c r="B26" s="10" t="n">
        <f aca="false">SUM(B22:B25)</f>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0" ySplit="1" topLeftCell="K2" activePane="bottomRight" state="frozen"/>
      <selection pane="topLeft" activeCell="A1" activeCellId="0" sqref="A1"/>
      <selection pane="topRight" activeCell="K1" activeCellId="0" sqref="K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1"/>
    <col collapsed="false" customWidth="true" hidden="false" outlineLevel="0" max="3" min="3" style="1" width="6"/>
    <col collapsed="false" customWidth="true" hidden="false" outlineLevel="0" max="4" min="4" style="1" width="8"/>
    <col collapsed="false" customWidth="true" hidden="false" outlineLevel="0" max="5" min="5" style="1" width="10"/>
    <col collapsed="false" customWidth="true" hidden="false" outlineLevel="0" max="6" min="6" style="1" width="14"/>
    <col collapsed="false" customWidth="true" hidden="false" outlineLevel="0" max="7" min="7" style="1" width="15"/>
    <col collapsed="false" customWidth="true" hidden="false" outlineLevel="0" max="8" min="8" style="1" width="16"/>
    <col collapsed="false" customWidth="true" hidden="false" outlineLevel="0" max="9" min="9" style="1" width="22"/>
    <col collapsed="false" customWidth="true" hidden="false" outlineLevel="0" max="10" min="10" style="1" width="30"/>
    <col collapsed="false" customWidth="true" hidden="false" outlineLevel="0" max="11" min="11" style="1" width="34"/>
    <col collapsed="false" customWidth="true" hidden="false" outlineLevel="0" max="13" min="12" style="1" width="30"/>
    <col collapsed="false" customWidth="true" hidden="false" outlineLevel="0" max="15" min="14" style="1" width="55"/>
    <col collapsed="false" customWidth="true" hidden="false" outlineLevel="0" max="16" min="16" style="1" width="28"/>
    <col collapsed="false" customWidth="true" hidden="false" outlineLevel="0" max="17" min="17" style="1" width="30"/>
    <col collapsed="false" customWidth="true" hidden="false" outlineLevel="0" max="18" min="18" style="1" width="20"/>
    <col collapsed="false" customWidth="true" hidden="false" outlineLevel="0" max="19" min="19" style="1" width="55"/>
    <col collapsed="false" customWidth="true" hidden="false" outlineLevel="0" max="20" min="20" style="1" width="34"/>
    <col collapsed="false" customWidth="true" hidden="false" outlineLevel="0" max="21" min="21" style="1" width="12"/>
    <col collapsed="false" customWidth="true" hidden="false" outlineLevel="0" max="22" min="22" style="1" width="11"/>
    <col collapsed="false" customWidth="true" hidden="false" outlineLevel="0" max="24" min="23" style="1" width="9"/>
    <col collapsed="false" customWidth="true" hidden="false" outlineLevel="0" max="25" min="25" style="1" width="8"/>
    <col collapsed="false" customWidth="true" hidden="false" outlineLevel="0" max="26" min="26" style="1" width="9"/>
    <col collapsed="false" customWidth="true" hidden="false" outlineLevel="0" max="28" min="27" style="1" width="8"/>
    <col collapsed="false" customWidth="true" hidden="false" outlineLevel="0" max="29" min="29" style="1" width="9"/>
  </cols>
  <sheetData>
    <row r="1" customFormat="false" ht="33.75" hidden="false" customHeight="true" outlineLevel="0" collapsed="false">
      <c r="A1" s="6" t="s">
        <v>26</v>
      </c>
      <c r="B1" s="6" t="s">
        <v>27</v>
      </c>
      <c r="C1" s="6" t="s">
        <v>28</v>
      </c>
      <c r="D1" s="6" t="s">
        <v>29</v>
      </c>
      <c r="E1" s="6" t="s">
        <v>19</v>
      </c>
      <c r="F1" s="6" t="s">
        <v>30</v>
      </c>
      <c r="G1" s="6" t="s">
        <v>31</v>
      </c>
      <c r="H1" s="6" t="s">
        <v>32</v>
      </c>
      <c r="I1" s="6" t="s">
        <v>33</v>
      </c>
      <c r="J1" s="6" t="s">
        <v>34</v>
      </c>
      <c r="K1" s="6" t="s">
        <v>35</v>
      </c>
      <c r="L1" s="6" t="s">
        <v>36</v>
      </c>
      <c r="M1" s="6" t="s">
        <v>37</v>
      </c>
      <c r="N1" s="6" t="s">
        <v>38</v>
      </c>
      <c r="O1" s="6" t="s">
        <v>39</v>
      </c>
      <c r="P1" s="6" t="s">
        <v>40</v>
      </c>
      <c r="Q1" s="6" t="s">
        <v>41</v>
      </c>
      <c r="R1" s="6" t="s">
        <v>42</v>
      </c>
      <c r="S1" s="6" t="s">
        <v>43</v>
      </c>
      <c r="T1" s="6" t="s">
        <v>44</v>
      </c>
      <c r="U1" s="6" t="s">
        <v>45</v>
      </c>
      <c r="V1" s="6" t="s">
        <v>46</v>
      </c>
      <c r="W1" s="6" t="s">
        <v>47</v>
      </c>
      <c r="X1" s="6" t="s">
        <v>48</v>
      </c>
      <c r="Y1" s="6" t="s">
        <v>49</v>
      </c>
      <c r="Z1" s="6" t="s">
        <v>50</v>
      </c>
      <c r="AA1" s="6" t="s">
        <v>51</v>
      </c>
      <c r="AB1" s="6" t="s">
        <v>52</v>
      </c>
      <c r="AC1" s="6" t="s">
        <v>53</v>
      </c>
    </row>
    <row r="2" customFormat="false" ht="53.7" hidden="false" customHeight="false" outlineLevel="0" collapsed="false">
      <c r="A2" s="11" t="n">
        <v>1</v>
      </c>
      <c r="B2" s="12" t="n">
        <v>46327</v>
      </c>
      <c r="C2" s="11" t="s">
        <v>54</v>
      </c>
      <c r="D2" s="11" t="s">
        <v>55</v>
      </c>
      <c r="E2" s="11" t="s">
        <v>21</v>
      </c>
      <c r="F2" s="13" t="s">
        <v>56</v>
      </c>
      <c r="G2" s="13" t="s">
        <v>57</v>
      </c>
      <c r="H2" s="13"/>
      <c r="I2" s="13" t="s">
        <v>58</v>
      </c>
      <c r="J2" s="14" t="s">
        <v>59</v>
      </c>
      <c r="K2" s="15" t="s">
        <v>60</v>
      </c>
      <c r="L2" s="13" t="s">
        <v>61</v>
      </c>
      <c r="M2" s="15" t="s">
        <v>62</v>
      </c>
      <c r="N2" s="15" t="s">
        <v>63</v>
      </c>
      <c r="O2" s="13" t="s">
        <v>64</v>
      </c>
      <c r="P2" s="13" t="s">
        <v>65</v>
      </c>
      <c r="Q2" s="15" t="s">
        <v>66</v>
      </c>
      <c r="R2" s="13" t="s">
        <v>67</v>
      </c>
      <c r="S2" s="13" t="s">
        <v>68</v>
      </c>
      <c r="T2" s="13" t="s">
        <v>69</v>
      </c>
      <c r="U2" s="13"/>
      <c r="V2" s="13" t="s">
        <v>70</v>
      </c>
      <c r="W2" s="16"/>
      <c r="X2" s="16"/>
      <c r="Y2" s="16"/>
      <c r="Z2" s="16"/>
      <c r="AA2" s="16"/>
      <c r="AB2" s="16"/>
      <c r="AC2" s="17" t="str">
        <f aca="false">IF(OR(W2="",W2=0),"",(Y2+Z2+AA2+AB2)/W2)</f>
        <v/>
      </c>
    </row>
    <row r="3" customFormat="false" ht="43.25" hidden="false" customHeight="false" outlineLevel="0" collapsed="false">
      <c r="A3" s="18" t="n">
        <v>2</v>
      </c>
      <c r="B3" s="19" t="n">
        <v>46327</v>
      </c>
      <c r="C3" s="18" t="s">
        <v>54</v>
      </c>
      <c r="D3" s="18" t="s">
        <v>71</v>
      </c>
      <c r="E3" s="18" t="s">
        <v>22</v>
      </c>
      <c r="F3" s="13" t="s">
        <v>72</v>
      </c>
      <c r="G3" s="13" t="s">
        <v>73</v>
      </c>
      <c r="H3" s="13"/>
      <c r="I3" s="13" t="s">
        <v>58</v>
      </c>
      <c r="J3" s="14" t="s">
        <v>74</v>
      </c>
      <c r="K3" s="15" t="s">
        <v>75</v>
      </c>
      <c r="L3" s="13" t="s">
        <v>76</v>
      </c>
      <c r="M3" s="15" t="s">
        <v>77</v>
      </c>
      <c r="N3" s="15" t="s">
        <v>78</v>
      </c>
      <c r="O3" s="13" t="s">
        <v>79</v>
      </c>
      <c r="P3" s="13" t="s">
        <v>80</v>
      </c>
      <c r="Q3" s="15" t="s">
        <v>81</v>
      </c>
      <c r="R3" s="13" t="s">
        <v>82</v>
      </c>
      <c r="S3" s="13" t="s">
        <v>83</v>
      </c>
      <c r="T3" s="13" t="s">
        <v>84</v>
      </c>
      <c r="U3" s="13"/>
      <c r="V3" s="13" t="s">
        <v>70</v>
      </c>
      <c r="W3" s="16"/>
      <c r="X3" s="16"/>
      <c r="Y3" s="16"/>
      <c r="Z3" s="16"/>
      <c r="AA3" s="16"/>
      <c r="AB3" s="16"/>
      <c r="AC3" s="17" t="str">
        <f aca="false">IF(OR(W3="",W3=0),"",(Y3+Z3+AA3+AB3)/W3)</f>
        <v/>
      </c>
    </row>
    <row r="4" customFormat="false" ht="53.7" hidden="false" customHeight="false" outlineLevel="0" collapsed="false">
      <c r="A4" s="20" t="n">
        <v>3</v>
      </c>
      <c r="B4" s="21" t="n">
        <v>46327</v>
      </c>
      <c r="C4" s="20" t="s">
        <v>54</v>
      </c>
      <c r="D4" s="20" t="s">
        <v>85</v>
      </c>
      <c r="E4" s="20" t="s">
        <v>23</v>
      </c>
      <c r="F4" s="13" t="s">
        <v>86</v>
      </c>
      <c r="G4" s="13" t="s">
        <v>57</v>
      </c>
      <c r="H4" s="13"/>
      <c r="I4" s="13" t="s">
        <v>58</v>
      </c>
      <c r="J4" s="14" t="s">
        <v>87</v>
      </c>
      <c r="K4" s="15" t="s">
        <v>88</v>
      </c>
      <c r="L4" s="13"/>
      <c r="M4" s="13"/>
      <c r="N4" s="15" t="s">
        <v>89</v>
      </c>
      <c r="O4" s="13" t="s">
        <v>90</v>
      </c>
      <c r="P4" s="13" t="s">
        <v>91</v>
      </c>
      <c r="Q4" s="15" t="s">
        <v>92</v>
      </c>
      <c r="R4" s="13" t="s">
        <v>93</v>
      </c>
      <c r="S4" s="13" t="s">
        <v>94</v>
      </c>
      <c r="T4" s="13" t="s">
        <v>95</v>
      </c>
      <c r="U4" s="13"/>
      <c r="V4" s="13" t="s">
        <v>70</v>
      </c>
      <c r="W4" s="16"/>
      <c r="X4" s="16"/>
      <c r="Y4" s="16"/>
      <c r="Z4" s="16"/>
      <c r="AA4" s="16"/>
      <c r="AB4" s="16"/>
      <c r="AC4" s="17" t="str">
        <f aca="false">IF(OR(W4="",W4=0),"",(Y4+Z4+AA4+AB4)/W4)</f>
        <v/>
      </c>
    </row>
    <row r="5" customFormat="false" ht="179.1" hidden="false" customHeight="false" outlineLevel="0" collapsed="false">
      <c r="A5" s="22" t="n">
        <v>4</v>
      </c>
      <c r="B5" s="23" t="n">
        <v>46327</v>
      </c>
      <c r="C5" s="22" t="s">
        <v>54</v>
      </c>
      <c r="D5" s="22" t="s">
        <v>96</v>
      </c>
      <c r="E5" s="22" t="s">
        <v>24</v>
      </c>
      <c r="F5" s="13" t="s">
        <v>97</v>
      </c>
      <c r="G5" s="13" t="s">
        <v>98</v>
      </c>
      <c r="H5" s="13"/>
      <c r="I5" s="13" t="s">
        <v>58</v>
      </c>
      <c r="J5" s="14" t="s">
        <v>99</v>
      </c>
      <c r="K5" s="13" t="s">
        <v>100</v>
      </c>
      <c r="L5" s="13" t="s">
        <v>100</v>
      </c>
      <c r="M5" s="15" t="s">
        <v>101</v>
      </c>
      <c r="N5" s="13"/>
      <c r="O5" s="13" t="s">
        <v>102</v>
      </c>
      <c r="P5" s="13" t="s">
        <v>103</v>
      </c>
      <c r="Q5" s="13" t="s">
        <v>104</v>
      </c>
      <c r="R5" s="13" t="s">
        <v>105</v>
      </c>
      <c r="S5" s="13" t="s">
        <v>106</v>
      </c>
      <c r="T5" s="13" t="s">
        <v>107</v>
      </c>
      <c r="U5" s="13"/>
      <c r="V5" s="13" t="s">
        <v>70</v>
      </c>
      <c r="W5" s="16"/>
      <c r="X5" s="16"/>
      <c r="Y5" s="16"/>
      <c r="Z5" s="16"/>
      <c r="AA5" s="16"/>
      <c r="AB5" s="16"/>
      <c r="AC5" s="17" t="str">
        <f aca="false">IF(OR(W5="",W5=0),"",(Y5+Z5+AA5+AB5)/W5)</f>
        <v/>
      </c>
    </row>
    <row r="6" customFormat="false" ht="43.25" hidden="false" customHeight="false" outlineLevel="0" collapsed="false">
      <c r="A6" s="11" t="n">
        <v>5</v>
      </c>
      <c r="B6" s="12" t="n">
        <v>46328</v>
      </c>
      <c r="C6" s="11" t="s">
        <v>108</v>
      </c>
      <c r="D6" s="11" t="s">
        <v>55</v>
      </c>
      <c r="E6" s="11" t="s">
        <v>21</v>
      </c>
      <c r="F6" s="13" t="s">
        <v>109</v>
      </c>
      <c r="G6" s="13" t="s">
        <v>73</v>
      </c>
      <c r="H6" s="13"/>
      <c r="I6" s="13" t="s">
        <v>110</v>
      </c>
      <c r="J6" s="14" t="s">
        <v>111</v>
      </c>
      <c r="K6" s="13" t="s">
        <v>112</v>
      </c>
      <c r="L6" s="13" t="s">
        <v>113</v>
      </c>
      <c r="M6" s="15" t="s">
        <v>114</v>
      </c>
      <c r="N6" s="15" t="s">
        <v>115</v>
      </c>
      <c r="O6" s="13" t="s">
        <v>116</v>
      </c>
      <c r="P6" s="13" t="s">
        <v>117</v>
      </c>
      <c r="Q6" s="15" t="s">
        <v>118</v>
      </c>
      <c r="R6" s="13" t="s">
        <v>119</v>
      </c>
      <c r="S6" s="13" t="s">
        <v>120</v>
      </c>
      <c r="T6" s="13"/>
      <c r="U6" s="13"/>
      <c r="V6" s="13" t="s">
        <v>70</v>
      </c>
      <c r="W6" s="16"/>
      <c r="X6" s="16"/>
      <c r="Y6" s="16"/>
      <c r="Z6" s="16"/>
      <c r="AA6" s="16"/>
      <c r="AB6" s="16"/>
      <c r="AC6" s="17" t="str">
        <f aca="false">IF(OR(W6="",W6=0),"",(Y6+Z6+AA6+AB6)/W6)</f>
        <v/>
      </c>
    </row>
    <row r="7" customFormat="false" ht="43.25" hidden="false" customHeight="false" outlineLevel="0" collapsed="false">
      <c r="A7" s="18" t="n">
        <v>6</v>
      </c>
      <c r="B7" s="19" t="n">
        <v>46328</v>
      </c>
      <c r="C7" s="18" t="s">
        <v>108</v>
      </c>
      <c r="D7" s="18" t="s">
        <v>71</v>
      </c>
      <c r="E7" s="18" t="s">
        <v>22</v>
      </c>
      <c r="F7" s="13" t="s">
        <v>121</v>
      </c>
      <c r="G7" s="13" t="s">
        <v>122</v>
      </c>
      <c r="H7" s="13" t="s">
        <v>123</v>
      </c>
      <c r="I7" s="13" t="s">
        <v>124</v>
      </c>
      <c r="J7" s="14" t="s">
        <v>125</v>
      </c>
      <c r="K7" s="15" t="s">
        <v>126</v>
      </c>
      <c r="L7" s="13" t="s">
        <v>127</v>
      </c>
      <c r="M7" s="15" t="s">
        <v>128</v>
      </c>
      <c r="N7" s="15" t="s">
        <v>129</v>
      </c>
      <c r="O7" s="13" t="s">
        <v>130</v>
      </c>
      <c r="P7" s="13" t="s">
        <v>131</v>
      </c>
      <c r="Q7" s="15" t="s">
        <v>132</v>
      </c>
      <c r="R7" s="13" t="s">
        <v>133</v>
      </c>
      <c r="S7" s="13" t="s">
        <v>134</v>
      </c>
      <c r="T7" s="13" t="s">
        <v>135</v>
      </c>
      <c r="U7" s="13"/>
      <c r="V7" s="13" t="s">
        <v>70</v>
      </c>
      <c r="W7" s="16"/>
      <c r="X7" s="16"/>
      <c r="Y7" s="16"/>
      <c r="Z7" s="16"/>
      <c r="AA7" s="16"/>
      <c r="AB7" s="16"/>
      <c r="AC7" s="17" t="str">
        <f aca="false">IF(OR(W7="",W7=0),"",(Y7+Z7+AA7+AB7)/W7)</f>
        <v/>
      </c>
    </row>
    <row r="8" customFormat="false" ht="85.05" hidden="false" customHeight="false" outlineLevel="0" collapsed="false">
      <c r="A8" s="20" t="n">
        <v>7</v>
      </c>
      <c r="B8" s="21" t="n">
        <v>46328</v>
      </c>
      <c r="C8" s="20" t="s">
        <v>108</v>
      </c>
      <c r="D8" s="20" t="s">
        <v>136</v>
      </c>
      <c r="E8" s="20" t="s">
        <v>23</v>
      </c>
      <c r="F8" s="13" t="s">
        <v>137</v>
      </c>
      <c r="G8" s="13" t="s">
        <v>122</v>
      </c>
      <c r="H8" s="13" t="s">
        <v>123</v>
      </c>
      <c r="I8" s="13" t="s">
        <v>138</v>
      </c>
      <c r="J8" s="14" t="s">
        <v>139</v>
      </c>
      <c r="K8" s="15" t="s">
        <v>140</v>
      </c>
      <c r="L8" s="13"/>
      <c r="M8" s="13"/>
      <c r="N8" s="15" t="s">
        <v>141</v>
      </c>
      <c r="O8" s="13" t="s">
        <v>142</v>
      </c>
      <c r="P8" s="13" t="s">
        <v>143</v>
      </c>
      <c r="Q8" s="15" t="s">
        <v>144</v>
      </c>
      <c r="R8" s="13" t="s">
        <v>145</v>
      </c>
      <c r="S8" s="13" t="s">
        <v>146</v>
      </c>
      <c r="T8" s="13" t="s">
        <v>147</v>
      </c>
      <c r="U8" s="13"/>
      <c r="V8" s="13" t="s">
        <v>70</v>
      </c>
      <c r="W8" s="16"/>
      <c r="X8" s="16"/>
      <c r="Y8" s="16"/>
      <c r="Z8" s="16"/>
      <c r="AA8" s="16"/>
      <c r="AB8" s="16"/>
      <c r="AC8" s="17" t="str">
        <f aca="false">IF(OR(W8="",W8=0),"",(Y8+Z8+AA8+AB8)/W8)</f>
        <v/>
      </c>
    </row>
    <row r="9" customFormat="false" ht="43.25" hidden="false" customHeight="false" outlineLevel="0" collapsed="false">
      <c r="A9" s="11" t="n">
        <v>8</v>
      </c>
      <c r="B9" s="12" t="n">
        <v>46329</v>
      </c>
      <c r="C9" s="11" t="s">
        <v>148</v>
      </c>
      <c r="D9" s="11" t="s">
        <v>55</v>
      </c>
      <c r="E9" s="11" t="s">
        <v>21</v>
      </c>
      <c r="F9" s="13" t="s">
        <v>149</v>
      </c>
      <c r="G9" s="13" t="s">
        <v>57</v>
      </c>
      <c r="H9" s="13"/>
      <c r="I9" s="13" t="s">
        <v>110</v>
      </c>
      <c r="J9" s="14" t="s">
        <v>150</v>
      </c>
      <c r="K9" s="13" t="s">
        <v>151</v>
      </c>
      <c r="L9" s="13" t="s">
        <v>152</v>
      </c>
      <c r="M9" s="15" t="s">
        <v>153</v>
      </c>
      <c r="N9" s="15" t="s">
        <v>154</v>
      </c>
      <c r="O9" s="13" t="s">
        <v>155</v>
      </c>
      <c r="P9" s="13" t="s">
        <v>156</v>
      </c>
      <c r="Q9" s="15" t="s">
        <v>157</v>
      </c>
      <c r="R9" s="13" t="s">
        <v>158</v>
      </c>
      <c r="S9" s="13" t="s">
        <v>159</v>
      </c>
      <c r="T9" s="24" t="s">
        <v>160</v>
      </c>
      <c r="U9" s="13"/>
      <c r="V9" s="13" t="s">
        <v>70</v>
      </c>
      <c r="W9" s="16"/>
      <c r="X9" s="16"/>
      <c r="Y9" s="16"/>
      <c r="Z9" s="16"/>
      <c r="AA9" s="16"/>
      <c r="AB9" s="16"/>
      <c r="AC9" s="17" t="str">
        <f aca="false">IF(OR(W9="",W9=0),"",(Y9+Z9+AA9+AB9)/W9)</f>
        <v/>
      </c>
    </row>
    <row r="10" customFormat="false" ht="53.7" hidden="false" customHeight="false" outlineLevel="0" collapsed="false">
      <c r="A10" s="18" t="n">
        <v>9</v>
      </c>
      <c r="B10" s="19" t="n">
        <v>46329</v>
      </c>
      <c r="C10" s="18" t="s">
        <v>148</v>
      </c>
      <c r="D10" s="18" t="s">
        <v>71</v>
      </c>
      <c r="E10" s="18" t="s">
        <v>22</v>
      </c>
      <c r="F10" s="13" t="s">
        <v>161</v>
      </c>
      <c r="G10" s="13" t="s">
        <v>162</v>
      </c>
      <c r="H10" s="13"/>
      <c r="I10" s="13" t="s">
        <v>163</v>
      </c>
      <c r="J10" s="14" t="s">
        <v>164</v>
      </c>
      <c r="K10" s="15" t="s">
        <v>165</v>
      </c>
      <c r="L10" s="13" t="s">
        <v>164</v>
      </c>
      <c r="M10" s="15" t="s">
        <v>166</v>
      </c>
      <c r="N10" s="15" t="s">
        <v>167</v>
      </c>
      <c r="O10" s="13" t="s">
        <v>168</v>
      </c>
      <c r="P10" s="13" t="s">
        <v>169</v>
      </c>
      <c r="Q10" s="15" t="s">
        <v>170</v>
      </c>
      <c r="R10" s="13" t="s">
        <v>171</v>
      </c>
      <c r="S10" s="13" t="s">
        <v>172</v>
      </c>
      <c r="T10" s="13" t="s">
        <v>173</v>
      </c>
      <c r="U10" s="13"/>
      <c r="V10" s="13" t="s">
        <v>70</v>
      </c>
      <c r="W10" s="16"/>
      <c r="X10" s="16"/>
      <c r="Y10" s="16"/>
      <c r="Z10" s="16"/>
      <c r="AA10" s="16"/>
      <c r="AB10" s="16"/>
      <c r="AC10" s="17" t="str">
        <f aca="false">IF(OR(W10="",W10=0),"",(Y10+Z10+AA10+AB10)/W10)</f>
        <v/>
      </c>
    </row>
    <row r="11" customFormat="false" ht="43.25" hidden="false" customHeight="false" outlineLevel="0" collapsed="false">
      <c r="A11" s="20" t="n">
        <v>10</v>
      </c>
      <c r="B11" s="21" t="n">
        <v>46329</v>
      </c>
      <c r="C11" s="20" t="s">
        <v>148</v>
      </c>
      <c r="D11" s="20" t="s">
        <v>174</v>
      </c>
      <c r="E11" s="20" t="s">
        <v>23</v>
      </c>
      <c r="F11" s="13" t="s">
        <v>175</v>
      </c>
      <c r="G11" s="13" t="s">
        <v>73</v>
      </c>
      <c r="H11" s="13"/>
      <c r="I11" s="13" t="s">
        <v>176</v>
      </c>
      <c r="J11" s="14" t="s">
        <v>177</v>
      </c>
      <c r="K11" s="15" t="s">
        <v>178</v>
      </c>
      <c r="L11" s="13"/>
      <c r="M11" s="13"/>
      <c r="N11" s="15" t="s">
        <v>179</v>
      </c>
      <c r="O11" s="13" t="s">
        <v>180</v>
      </c>
      <c r="P11" s="13" t="s">
        <v>181</v>
      </c>
      <c r="Q11" s="13"/>
      <c r="R11" s="13" t="s">
        <v>182</v>
      </c>
      <c r="S11" s="13" t="s">
        <v>183</v>
      </c>
      <c r="T11" s="24" t="s">
        <v>184</v>
      </c>
      <c r="U11" s="13"/>
      <c r="V11" s="13" t="s">
        <v>70</v>
      </c>
      <c r="W11" s="16"/>
      <c r="X11" s="16"/>
      <c r="Y11" s="16"/>
      <c r="Z11" s="16"/>
      <c r="AA11" s="16"/>
      <c r="AB11" s="16"/>
      <c r="AC11" s="17" t="str">
        <f aca="false">IF(OR(W11="",W11=0),"",(Y11+Z11+AA11+AB11)/W11)</f>
        <v/>
      </c>
    </row>
    <row r="12" customFormat="false" ht="137.3" hidden="false" customHeight="false" outlineLevel="0" collapsed="false">
      <c r="A12" s="22" t="n">
        <v>11</v>
      </c>
      <c r="B12" s="23" t="n">
        <v>46329</v>
      </c>
      <c r="C12" s="22" t="s">
        <v>148</v>
      </c>
      <c r="D12" s="22" t="s">
        <v>96</v>
      </c>
      <c r="E12" s="22" t="s">
        <v>24</v>
      </c>
      <c r="F12" s="13" t="s">
        <v>185</v>
      </c>
      <c r="G12" s="13" t="s">
        <v>98</v>
      </c>
      <c r="H12" s="13"/>
      <c r="I12" s="13" t="s">
        <v>186</v>
      </c>
      <c r="J12" s="14" t="s">
        <v>187</v>
      </c>
      <c r="K12" s="13" t="s">
        <v>188</v>
      </c>
      <c r="L12" s="13" t="s">
        <v>189</v>
      </c>
      <c r="M12" s="13"/>
      <c r="N12" s="13"/>
      <c r="O12" s="13" t="s">
        <v>190</v>
      </c>
      <c r="P12" s="13" t="s">
        <v>191</v>
      </c>
      <c r="Q12" s="13" t="s">
        <v>192</v>
      </c>
      <c r="R12" s="13" t="s">
        <v>193</v>
      </c>
      <c r="S12" s="13" t="s">
        <v>194</v>
      </c>
      <c r="T12" s="13"/>
      <c r="U12" s="13"/>
      <c r="V12" s="13" t="s">
        <v>70</v>
      </c>
      <c r="W12" s="16"/>
      <c r="X12" s="16"/>
      <c r="Y12" s="16"/>
      <c r="Z12" s="16"/>
      <c r="AA12" s="16"/>
      <c r="AB12" s="16"/>
      <c r="AC12" s="17" t="str">
        <f aca="false">IF(OR(W12="",W12=0),"",(Y12+Z12+AA12+AB12)/W12)</f>
        <v/>
      </c>
    </row>
    <row r="13" customFormat="false" ht="43.25" hidden="false" customHeight="false" outlineLevel="0" collapsed="false">
      <c r="A13" s="11" t="n">
        <v>12</v>
      </c>
      <c r="B13" s="12" t="n">
        <v>46330</v>
      </c>
      <c r="C13" s="11" t="s">
        <v>195</v>
      </c>
      <c r="D13" s="11" t="s">
        <v>55</v>
      </c>
      <c r="E13" s="11" t="s">
        <v>21</v>
      </c>
      <c r="F13" s="13" t="s">
        <v>196</v>
      </c>
      <c r="G13" s="13" t="s">
        <v>73</v>
      </c>
      <c r="H13" s="13" t="s">
        <v>73</v>
      </c>
      <c r="I13" s="13" t="s">
        <v>197</v>
      </c>
      <c r="J13" s="14" t="s">
        <v>198</v>
      </c>
      <c r="K13" s="15" t="s">
        <v>199</v>
      </c>
      <c r="L13" s="13" t="s">
        <v>200</v>
      </c>
      <c r="M13" s="15" t="s">
        <v>201</v>
      </c>
      <c r="N13" s="15" t="s">
        <v>202</v>
      </c>
      <c r="O13" s="13" t="s">
        <v>203</v>
      </c>
      <c r="P13" s="13" t="s">
        <v>204</v>
      </c>
      <c r="Q13" s="15" t="s">
        <v>205</v>
      </c>
      <c r="R13" s="13" t="s">
        <v>206</v>
      </c>
      <c r="S13" s="13" t="s">
        <v>207</v>
      </c>
      <c r="T13" s="13" t="s">
        <v>208</v>
      </c>
      <c r="U13" s="13"/>
      <c r="V13" s="13" t="s">
        <v>70</v>
      </c>
      <c r="W13" s="16"/>
      <c r="X13" s="16"/>
      <c r="Y13" s="16"/>
      <c r="Z13" s="16"/>
      <c r="AA13" s="16"/>
      <c r="AB13" s="16"/>
      <c r="AC13" s="17" t="str">
        <f aca="false">IF(OR(W13="",W13=0),"",(Y13+Z13+AA13+AB13)/W13)</f>
        <v/>
      </c>
    </row>
    <row r="14" customFormat="false" ht="43.25" hidden="false" customHeight="false" outlineLevel="0" collapsed="false">
      <c r="A14" s="18" t="n">
        <v>13</v>
      </c>
      <c r="B14" s="19" t="n">
        <v>46330</v>
      </c>
      <c r="C14" s="18" t="s">
        <v>195</v>
      </c>
      <c r="D14" s="18" t="s">
        <v>71</v>
      </c>
      <c r="E14" s="18" t="s">
        <v>22</v>
      </c>
      <c r="F14" s="13" t="s">
        <v>209</v>
      </c>
      <c r="G14" s="13" t="s">
        <v>162</v>
      </c>
      <c r="H14" s="13"/>
      <c r="I14" s="13" t="s">
        <v>197</v>
      </c>
      <c r="J14" s="14" t="s">
        <v>210</v>
      </c>
      <c r="K14" s="15" t="s">
        <v>211</v>
      </c>
      <c r="L14" s="13" t="s">
        <v>212</v>
      </c>
      <c r="M14" s="15" t="s">
        <v>213</v>
      </c>
      <c r="N14" s="15" t="s">
        <v>214</v>
      </c>
      <c r="O14" s="13" t="s">
        <v>215</v>
      </c>
      <c r="P14" s="13" t="s">
        <v>216</v>
      </c>
      <c r="Q14" s="15" t="s">
        <v>217</v>
      </c>
      <c r="R14" s="13" t="s">
        <v>218</v>
      </c>
      <c r="S14" s="13" t="s">
        <v>219</v>
      </c>
      <c r="T14" s="13" t="s">
        <v>220</v>
      </c>
      <c r="U14" s="13"/>
      <c r="V14" s="13" t="s">
        <v>70</v>
      </c>
      <c r="W14" s="16"/>
      <c r="X14" s="16"/>
      <c r="Y14" s="16"/>
      <c r="Z14" s="16"/>
      <c r="AA14" s="16"/>
      <c r="AB14" s="16"/>
      <c r="AC14" s="17" t="str">
        <f aca="false">IF(OR(W14="",W14=0),"",(Y14+Z14+AA14+AB14)/W14)</f>
        <v/>
      </c>
    </row>
    <row r="15" customFormat="false" ht="15" hidden="false" customHeight="false" outlineLevel="0" collapsed="false">
      <c r="A15" s="20" t="n">
        <v>14</v>
      </c>
      <c r="B15" s="21" t="n">
        <v>46330</v>
      </c>
      <c r="C15" s="20" t="s">
        <v>195</v>
      </c>
      <c r="D15" s="20" t="s">
        <v>221</v>
      </c>
      <c r="E15" s="20" t="s">
        <v>23</v>
      </c>
      <c r="F15" s="13" t="s">
        <v>222</v>
      </c>
      <c r="G15" s="13" t="s">
        <v>162</v>
      </c>
      <c r="H15" s="13"/>
      <c r="I15" s="13" t="s">
        <v>223</v>
      </c>
      <c r="J15" s="14" t="s">
        <v>224</v>
      </c>
      <c r="K15" s="15" t="s">
        <v>225</v>
      </c>
      <c r="L15" s="13"/>
      <c r="M15" s="13"/>
      <c r="N15" s="15" t="s">
        <v>226</v>
      </c>
      <c r="O15" s="13" t="s">
        <v>227</v>
      </c>
      <c r="P15" s="13" t="s">
        <v>228</v>
      </c>
      <c r="Q15" s="15" t="s">
        <v>229</v>
      </c>
      <c r="R15" s="13" t="s">
        <v>230</v>
      </c>
      <c r="S15" s="13" t="s">
        <v>231</v>
      </c>
      <c r="T15" s="13"/>
      <c r="U15" s="13"/>
      <c r="V15" s="13" t="s">
        <v>70</v>
      </c>
      <c r="W15" s="16"/>
      <c r="X15" s="16"/>
      <c r="Y15" s="16"/>
      <c r="Z15" s="16"/>
      <c r="AA15" s="16"/>
      <c r="AB15" s="16"/>
      <c r="AC15" s="17" t="str">
        <f aca="false">IF(OR(W15="",W15=0),"",(Y15+Z15+AA15+AB15)/W15)</f>
        <v/>
      </c>
    </row>
    <row r="16" customFormat="false" ht="64.15" hidden="false" customHeight="false" outlineLevel="0" collapsed="false">
      <c r="A16" s="11" t="n">
        <v>15</v>
      </c>
      <c r="B16" s="12" t="n">
        <v>46331</v>
      </c>
      <c r="C16" s="11" t="s">
        <v>232</v>
      </c>
      <c r="D16" s="11" t="s">
        <v>233</v>
      </c>
      <c r="E16" s="11" t="s">
        <v>21</v>
      </c>
      <c r="F16" s="13" t="s">
        <v>234</v>
      </c>
      <c r="G16" s="13" t="s">
        <v>162</v>
      </c>
      <c r="H16" s="13" t="s">
        <v>235</v>
      </c>
      <c r="I16" s="13" t="s">
        <v>236</v>
      </c>
      <c r="J16" s="14" t="s">
        <v>237</v>
      </c>
      <c r="K16" s="13" t="s">
        <v>238</v>
      </c>
      <c r="L16" s="13" t="s">
        <v>239</v>
      </c>
      <c r="M16" s="15" t="s">
        <v>240</v>
      </c>
      <c r="N16" s="15" t="s">
        <v>241</v>
      </c>
      <c r="O16" s="13" t="s">
        <v>242</v>
      </c>
      <c r="P16" s="13" t="s">
        <v>243</v>
      </c>
      <c r="Q16" s="15" t="s">
        <v>244</v>
      </c>
      <c r="R16" s="13" t="s">
        <v>245</v>
      </c>
      <c r="S16" s="13" t="s">
        <v>246</v>
      </c>
      <c r="T16" s="13"/>
      <c r="U16" s="13"/>
      <c r="V16" s="13" t="s">
        <v>70</v>
      </c>
      <c r="W16" s="16"/>
      <c r="X16" s="16"/>
      <c r="Y16" s="16"/>
      <c r="Z16" s="16"/>
      <c r="AA16" s="16"/>
      <c r="AB16" s="16"/>
      <c r="AC16" s="17" t="str">
        <f aca="false">IF(OR(W16="",W16=0),"",(Y16+Z16+AA16+AB16)/W16)</f>
        <v/>
      </c>
    </row>
    <row r="17" customFormat="false" ht="32.8" hidden="false" customHeight="false" outlineLevel="0" collapsed="false">
      <c r="A17" s="11" t="n">
        <v>16</v>
      </c>
      <c r="B17" s="12" t="n">
        <v>46331</v>
      </c>
      <c r="C17" s="11" t="s">
        <v>232</v>
      </c>
      <c r="D17" s="11" t="s">
        <v>247</v>
      </c>
      <c r="E17" s="11" t="s">
        <v>21</v>
      </c>
      <c r="F17" s="13" t="s">
        <v>248</v>
      </c>
      <c r="G17" s="13" t="s">
        <v>162</v>
      </c>
      <c r="H17" s="13"/>
      <c r="I17" s="13" t="s">
        <v>249</v>
      </c>
      <c r="J17" s="14" t="s">
        <v>250</v>
      </c>
      <c r="K17" s="13" t="s">
        <v>251</v>
      </c>
      <c r="L17" s="13" t="s">
        <v>252</v>
      </c>
      <c r="M17" s="15" t="s">
        <v>253</v>
      </c>
      <c r="N17" s="15" t="s">
        <v>254</v>
      </c>
      <c r="O17" s="13" t="s">
        <v>255</v>
      </c>
      <c r="P17" s="13" t="s">
        <v>256</v>
      </c>
      <c r="Q17" s="15" t="s">
        <v>257</v>
      </c>
      <c r="R17" s="13" t="s">
        <v>258</v>
      </c>
      <c r="S17" s="13" t="s">
        <v>259</v>
      </c>
      <c r="T17" s="13"/>
      <c r="U17" s="13"/>
      <c r="V17" s="13" t="s">
        <v>70</v>
      </c>
      <c r="W17" s="16"/>
      <c r="X17" s="16"/>
      <c r="Y17" s="16"/>
      <c r="Z17" s="16"/>
      <c r="AA17" s="16"/>
      <c r="AB17" s="16"/>
      <c r="AC17" s="17" t="str">
        <f aca="false">IF(OR(W17="",W17=0),"",(Y17+Z17+AA17+AB17)/W17)</f>
        <v/>
      </c>
    </row>
    <row r="18" customFormat="false" ht="32.8" hidden="false" customHeight="false" outlineLevel="0" collapsed="false">
      <c r="A18" s="18" t="n">
        <v>17</v>
      </c>
      <c r="B18" s="19" t="n">
        <v>46331</v>
      </c>
      <c r="C18" s="18" t="s">
        <v>232</v>
      </c>
      <c r="D18" s="18" t="s">
        <v>260</v>
      </c>
      <c r="E18" s="18" t="s">
        <v>22</v>
      </c>
      <c r="F18" s="13" t="s">
        <v>261</v>
      </c>
      <c r="G18" s="13" t="s">
        <v>162</v>
      </c>
      <c r="H18" s="13"/>
      <c r="I18" s="13" t="s">
        <v>262</v>
      </c>
      <c r="J18" s="14" t="s">
        <v>263</v>
      </c>
      <c r="K18" s="15" t="s">
        <v>264</v>
      </c>
      <c r="L18" s="13" t="s">
        <v>265</v>
      </c>
      <c r="M18" s="15" t="s">
        <v>266</v>
      </c>
      <c r="N18" s="15" t="s">
        <v>267</v>
      </c>
      <c r="O18" s="13" t="s">
        <v>268</v>
      </c>
      <c r="P18" s="13" t="s">
        <v>269</v>
      </c>
      <c r="Q18" s="15" t="s">
        <v>270</v>
      </c>
      <c r="R18" s="13" t="s">
        <v>271</v>
      </c>
      <c r="S18" s="13" t="s">
        <v>272</v>
      </c>
      <c r="T18" s="13"/>
      <c r="U18" s="13"/>
      <c r="V18" s="13" t="s">
        <v>70</v>
      </c>
      <c r="W18" s="16"/>
      <c r="X18" s="16"/>
      <c r="Y18" s="16"/>
      <c r="Z18" s="16"/>
      <c r="AA18" s="16"/>
      <c r="AB18" s="16"/>
      <c r="AC18" s="17" t="str">
        <f aca="false">IF(OR(W18="",W18=0),"",(Y18+Z18+AA18+AB18)/W18)</f>
        <v/>
      </c>
    </row>
    <row r="19" customFormat="false" ht="43.25" hidden="false" customHeight="false" outlineLevel="0" collapsed="false">
      <c r="A19" s="18" t="n">
        <v>18</v>
      </c>
      <c r="B19" s="19" t="n">
        <v>46331</v>
      </c>
      <c r="C19" s="18" t="s">
        <v>232</v>
      </c>
      <c r="D19" s="18" t="s">
        <v>273</v>
      </c>
      <c r="E19" s="18" t="s">
        <v>22</v>
      </c>
      <c r="F19" s="13" t="s">
        <v>274</v>
      </c>
      <c r="G19" s="13" t="s">
        <v>162</v>
      </c>
      <c r="H19" s="13"/>
      <c r="I19" s="13" t="s">
        <v>275</v>
      </c>
      <c r="J19" s="14" t="s">
        <v>276</v>
      </c>
      <c r="K19" s="15" t="s">
        <v>277</v>
      </c>
      <c r="L19" s="13" t="s">
        <v>278</v>
      </c>
      <c r="M19" s="15" t="s">
        <v>279</v>
      </c>
      <c r="N19" s="15" t="s">
        <v>280</v>
      </c>
      <c r="O19" s="13" t="s">
        <v>281</v>
      </c>
      <c r="P19" s="13" t="s">
        <v>282</v>
      </c>
      <c r="Q19" s="15" t="s">
        <v>283</v>
      </c>
      <c r="R19" s="13" t="s">
        <v>284</v>
      </c>
      <c r="S19" s="13" t="s">
        <v>285</v>
      </c>
      <c r="T19" s="13"/>
      <c r="U19" s="13"/>
      <c r="V19" s="13" t="s">
        <v>70</v>
      </c>
      <c r="W19" s="16"/>
      <c r="X19" s="16"/>
      <c r="Y19" s="16"/>
      <c r="Z19" s="16"/>
      <c r="AA19" s="16"/>
      <c r="AB19" s="16"/>
      <c r="AC19" s="17" t="str">
        <f aca="false">IF(OR(W19="",W19=0),"",(Y19+Z19+AA19+AB19)/W19)</f>
        <v/>
      </c>
    </row>
    <row r="20" customFormat="false" ht="53.7" hidden="false" customHeight="false" outlineLevel="0" collapsed="false">
      <c r="A20" s="20" t="n">
        <v>19</v>
      </c>
      <c r="B20" s="21" t="n">
        <v>46331</v>
      </c>
      <c r="C20" s="20" t="s">
        <v>232</v>
      </c>
      <c r="D20" s="20" t="s">
        <v>85</v>
      </c>
      <c r="E20" s="20" t="s">
        <v>23</v>
      </c>
      <c r="F20" s="13" t="s">
        <v>286</v>
      </c>
      <c r="G20" s="13" t="s">
        <v>162</v>
      </c>
      <c r="H20" s="13" t="s">
        <v>235</v>
      </c>
      <c r="I20" s="13" t="s">
        <v>287</v>
      </c>
      <c r="J20" s="14" t="s">
        <v>288</v>
      </c>
      <c r="K20" s="15" t="s">
        <v>289</v>
      </c>
      <c r="L20" s="13"/>
      <c r="M20" s="13"/>
      <c r="N20" s="15" t="s">
        <v>290</v>
      </c>
      <c r="O20" s="13" t="s">
        <v>291</v>
      </c>
      <c r="P20" s="13" t="s">
        <v>292</v>
      </c>
      <c r="Q20" s="15" t="s">
        <v>293</v>
      </c>
      <c r="R20" s="13" t="s">
        <v>294</v>
      </c>
      <c r="S20" s="13" t="s">
        <v>295</v>
      </c>
      <c r="T20" s="13"/>
      <c r="U20" s="13"/>
      <c r="V20" s="13" t="s">
        <v>70</v>
      </c>
      <c r="W20" s="16"/>
      <c r="X20" s="16"/>
      <c r="Y20" s="16"/>
      <c r="Z20" s="16"/>
      <c r="AA20" s="16"/>
      <c r="AB20" s="16"/>
      <c r="AC20" s="17" t="str">
        <f aca="false">IF(OR(W20="",W20=0),"",(Y20+Z20+AA20+AB20)/W20)</f>
        <v/>
      </c>
    </row>
    <row r="21" customFormat="false" ht="32.8" hidden="false" customHeight="false" outlineLevel="0" collapsed="false">
      <c r="A21" s="11" t="n">
        <v>20</v>
      </c>
      <c r="B21" s="12" t="n">
        <v>46332</v>
      </c>
      <c r="C21" s="11" t="s">
        <v>296</v>
      </c>
      <c r="D21" s="11" t="s">
        <v>55</v>
      </c>
      <c r="E21" s="11" t="s">
        <v>21</v>
      </c>
      <c r="F21" s="13" t="s">
        <v>297</v>
      </c>
      <c r="G21" s="13" t="s">
        <v>162</v>
      </c>
      <c r="H21" s="13"/>
      <c r="I21" s="13" t="s">
        <v>298</v>
      </c>
      <c r="J21" s="14" t="s">
        <v>299</v>
      </c>
      <c r="K21" s="13" t="s">
        <v>300</v>
      </c>
      <c r="L21" s="13" t="s">
        <v>301</v>
      </c>
      <c r="M21" s="15" t="s">
        <v>302</v>
      </c>
      <c r="N21" s="15" t="s">
        <v>303</v>
      </c>
      <c r="O21" s="13" t="s">
        <v>304</v>
      </c>
      <c r="P21" s="13" t="s">
        <v>305</v>
      </c>
      <c r="Q21" s="15" t="s">
        <v>306</v>
      </c>
      <c r="R21" s="13" t="s">
        <v>307</v>
      </c>
      <c r="S21" s="13" t="s">
        <v>308</v>
      </c>
      <c r="T21" s="13" t="s">
        <v>309</v>
      </c>
      <c r="U21" s="13"/>
      <c r="V21" s="13" t="s">
        <v>70</v>
      </c>
      <c r="W21" s="16"/>
      <c r="X21" s="16"/>
      <c r="Y21" s="16"/>
      <c r="Z21" s="16"/>
      <c r="AA21" s="16"/>
      <c r="AB21" s="16"/>
      <c r="AC21" s="17" t="str">
        <f aca="false">IF(OR(W21="",W21=0),"",(Y21+Z21+AA21+AB21)/W21)</f>
        <v/>
      </c>
    </row>
    <row r="22" customFormat="false" ht="22.35" hidden="false" customHeight="false" outlineLevel="0" collapsed="false">
      <c r="A22" s="18" t="n">
        <v>21</v>
      </c>
      <c r="B22" s="19" t="n">
        <v>46332</v>
      </c>
      <c r="C22" s="18" t="s">
        <v>296</v>
      </c>
      <c r="D22" s="18" t="s">
        <v>71</v>
      </c>
      <c r="E22" s="18" t="s">
        <v>22</v>
      </c>
      <c r="F22" s="13" t="s">
        <v>310</v>
      </c>
      <c r="G22" s="13" t="s">
        <v>162</v>
      </c>
      <c r="H22" s="13"/>
      <c r="I22" s="13" t="s">
        <v>275</v>
      </c>
      <c r="J22" s="14" t="s">
        <v>311</v>
      </c>
      <c r="K22" s="15" t="s">
        <v>312</v>
      </c>
      <c r="L22" s="13" t="s">
        <v>313</v>
      </c>
      <c r="M22" s="15" t="s">
        <v>314</v>
      </c>
      <c r="N22" s="15" t="s">
        <v>315</v>
      </c>
      <c r="O22" s="13" t="s">
        <v>316</v>
      </c>
      <c r="P22" s="13" t="s">
        <v>317</v>
      </c>
      <c r="Q22" s="15" t="s">
        <v>318</v>
      </c>
      <c r="R22" s="13" t="s">
        <v>319</v>
      </c>
      <c r="S22" s="13" t="s">
        <v>320</v>
      </c>
      <c r="T22" s="13"/>
      <c r="U22" s="13"/>
      <c r="V22" s="13" t="s">
        <v>70</v>
      </c>
      <c r="W22" s="16"/>
      <c r="X22" s="16"/>
      <c r="Y22" s="16"/>
      <c r="Z22" s="16"/>
      <c r="AA22" s="16"/>
      <c r="AB22" s="16"/>
      <c r="AC22" s="17" t="str">
        <f aca="false">IF(OR(W22="",W22=0),"",(Y22+Z22+AA22+AB22)/W22)</f>
        <v/>
      </c>
    </row>
    <row r="23" customFormat="false" ht="32.8" hidden="false" customHeight="false" outlineLevel="0" collapsed="false">
      <c r="A23" s="20" t="n">
        <v>22</v>
      </c>
      <c r="B23" s="21" t="n">
        <v>46332</v>
      </c>
      <c r="C23" s="20" t="s">
        <v>296</v>
      </c>
      <c r="D23" s="20" t="s">
        <v>321</v>
      </c>
      <c r="E23" s="20" t="s">
        <v>23</v>
      </c>
      <c r="F23" s="13" t="s">
        <v>322</v>
      </c>
      <c r="G23" s="13" t="s">
        <v>162</v>
      </c>
      <c r="H23" s="13"/>
      <c r="I23" s="13" t="s">
        <v>275</v>
      </c>
      <c r="J23" s="14" t="s">
        <v>323</v>
      </c>
      <c r="K23" s="15" t="s">
        <v>324</v>
      </c>
      <c r="L23" s="13"/>
      <c r="M23" s="13"/>
      <c r="N23" s="15" t="s">
        <v>325</v>
      </c>
      <c r="O23" s="13" t="s">
        <v>326</v>
      </c>
      <c r="P23" s="13" t="s">
        <v>327</v>
      </c>
      <c r="Q23" s="15" t="s">
        <v>229</v>
      </c>
      <c r="R23" s="13" t="s">
        <v>328</v>
      </c>
      <c r="S23" s="13" t="s">
        <v>329</v>
      </c>
      <c r="T23" s="13" t="s">
        <v>330</v>
      </c>
      <c r="U23" s="13"/>
      <c r="V23" s="13" t="s">
        <v>70</v>
      </c>
      <c r="W23" s="16"/>
      <c r="X23" s="16"/>
      <c r="Y23" s="16"/>
      <c r="Z23" s="16"/>
      <c r="AA23" s="16"/>
      <c r="AB23" s="16"/>
      <c r="AC23" s="17" t="str">
        <f aca="false">IF(OR(W23="",W23=0),"",(Y23+Z23+AA23+AB23)/W23)</f>
        <v/>
      </c>
    </row>
    <row r="24" customFormat="false" ht="43.25" hidden="false" customHeight="false" outlineLevel="0" collapsed="false">
      <c r="A24" s="11" t="n">
        <v>23</v>
      </c>
      <c r="B24" s="12" t="n">
        <v>46333</v>
      </c>
      <c r="C24" s="11" t="s">
        <v>331</v>
      </c>
      <c r="D24" s="11" t="s">
        <v>260</v>
      </c>
      <c r="E24" s="11" t="s">
        <v>21</v>
      </c>
      <c r="F24" s="13" t="s">
        <v>332</v>
      </c>
      <c r="G24" s="13" t="s">
        <v>122</v>
      </c>
      <c r="H24" s="13"/>
      <c r="I24" s="13" t="s">
        <v>333</v>
      </c>
      <c r="J24" s="14" t="s">
        <v>334</v>
      </c>
      <c r="K24" s="13" t="s">
        <v>335</v>
      </c>
      <c r="L24" s="13" t="s">
        <v>336</v>
      </c>
      <c r="M24" s="15" t="s">
        <v>337</v>
      </c>
      <c r="N24" s="15" t="s">
        <v>338</v>
      </c>
      <c r="O24" s="13" t="s">
        <v>339</v>
      </c>
      <c r="P24" s="13" t="s">
        <v>340</v>
      </c>
      <c r="Q24" s="15" t="s">
        <v>341</v>
      </c>
      <c r="R24" s="13" t="s">
        <v>342</v>
      </c>
      <c r="S24" s="13" t="s">
        <v>343</v>
      </c>
      <c r="T24" s="13"/>
      <c r="U24" s="13"/>
      <c r="V24" s="13" t="s">
        <v>70</v>
      </c>
      <c r="W24" s="16"/>
      <c r="X24" s="16"/>
      <c r="Y24" s="16"/>
      <c r="Z24" s="16"/>
      <c r="AA24" s="16"/>
      <c r="AB24" s="16"/>
      <c r="AC24" s="17" t="str">
        <f aca="false">IF(OR(W24="",W24=0),"",(Y24+Z24+AA24+AB24)/W24)</f>
        <v/>
      </c>
    </row>
    <row r="25" customFormat="false" ht="22.35" hidden="false" customHeight="false" outlineLevel="0" collapsed="false">
      <c r="A25" s="18" t="n">
        <v>24</v>
      </c>
      <c r="B25" s="19" t="n">
        <v>46333</v>
      </c>
      <c r="C25" s="18" t="s">
        <v>331</v>
      </c>
      <c r="D25" s="18" t="s">
        <v>247</v>
      </c>
      <c r="E25" s="18" t="s">
        <v>22</v>
      </c>
      <c r="F25" s="13" t="s">
        <v>72</v>
      </c>
      <c r="G25" s="13" t="s">
        <v>57</v>
      </c>
      <c r="H25" s="13"/>
      <c r="I25" s="13" t="s">
        <v>344</v>
      </c>
      <c r="J25" s="14" t="s">
        <v>345</v>
      </c>
      <c r="K25" s="15" t="s">
        <v>346</v>
      </c>
      <c r="L25" s="13" t="s">
        <v>345</v>
      </c>
      <c r="M25" s="15" t="s">
        <v>347</v>
      </c>
      <c r="N25" s="15" t="s">
        <v>348</v>
      </c>
      <c r="O25" s="13" t="s">
        <v>349</v>
      </c>
      <c r="P25" s="13" t="s">
        <v>350</v>
      </c>
      <c r="Q25" s="15" t="s">
        <v>351</v>
      </c>
      <c r="R25" s="13" t="s">
        <v>352</v>
      </c>
      <c r="S25" s="13" t="s">
        <v>353</v>
      </c>
      <c r="T25" s="13" t="s">
        <v>354</v>
      </c>
      <c r="U25" s="13"/>
      <c r="V25" s="13" t="s">
        <v>70</v>
      </c>
      <c r="W25" s="16"/>
      <c r="X25" s="16"/>
      <c r="Y25" s="16"/>
      <c r="Z25" s="16"/>
      <c r="AA25" s="16"/>
      <c r="AB25" s="16"/>
      <c r="AC25" s="17" t="str">
        <f aca="false">IF(OR(W25="",W25=0),"",(Y25+Z25+AA25+AB25)/W25)</f>
        <v/>
      </c>
    </row>
    <row r="26" customFormat="false" ht="43.25" hidden="false" customHeight="false" outlineLevel="0" collapsed="false">
      <c r="A26" s="20" t="n">
        <v>25</v>
      </c>
      <c r="B26" s="21" t="n">
        <v>46333</v>
      </c>
      <c r="C26" s="20" t="s">
        <v>331</v>
      </c>
      <c r="D26" s="20" t="s">
        <v>355</v>
      </c>
      <c r="E26" s="20" t="s">
        <v>23</v>
      </c>
      <c r="F26" s="13" t="s">
        <v>175</v>
      </c>
      <c r="G26" s="13" t="s">
        <v>57</v>
      </c>
      <c r="H26" s="13"/>
      <c r="I26" s="13" t="s">
        <v>356</v>
      </c>
      <c r="J26" s="14" t="s">
        <v>357</v>
      </c>
      <c r="K26" s="15" t="s">
        <v>358</v>
      </c>
      <c r="L26" s="13"/>
      <c r="M26" s="13"/>
      <c r="N26" s="15" t="s">
        <v>359</v>
      </c>
      <c r="O26" s="13" t="s">
        <v>360</v>
      </c>
      <c r="P26" s="13" t="s">
        <v>361</v>
      </c>
      <c r="Q26" s="13" t="s">
        <v>362</v>
      </c>
      <c r="R26" s="13" t="s">
        <v>363</v>
      </c>
      <c r="S26" s="13" t="s">
        <v>364</v>
      </c>
      <c r="T26" s="13"/>
      <c r="U26" s="13"/>
      <c r="V26" s="13" t="s">
        <v>70</v>
      </c>
      <c r="W26" s="16"/>
      <c r="X26" s="16"/>
      <c r="Y26" s="16"/>
      <c r="Z26" s="16"/>
      <c r="AA26" s="16"/>
      <c r="AB26" s="16"/>
      <c r="AC26" s="17" t="str">
        <f aca="false">IF(OR(W26="",W26=0),"",(Y26+Z26+AA26+AB26)/W26)</f>
        <v/>
      </c>
    </row>
    <row r="27" customFormat="false" ht="32.8" hidden="false" customHeight="false" outlineLevel="0" collapsed="false">
      <c r="A27" s="11" t="n">
        <v>26</v>
      </c>
      <c r="B27" s="12" t="n">
        <v>46334</v>
      </c>
      <c r="C27" s="11" t="s">
        <v>54</v>
      </c>
      <c r="D27" s="11" t="s">
        <v>55</v>
      </c>
      <c r="E27" s="11" t="s">
        <v>21</v>
      </c>
      <c r="F27" s="13" t="s">
        <v>365</v>
      </c>
      <c r="G27" s="13" t="s">
        <v>73</v>
      </c>
      <c r="H27" s="13" t="s">
        <v>366</v>
      </c>
      <c r="I27" s="13" t="s">
        <v>367</v>
      </c>
      <c r="J27" s="14" t="s">
        <v>368</v>
      </c>
      <c r="K27" s="13" t="s">
        <v>369</v>
      </c>
      <c r="L27" s="13" t="s">
        <v>370</v>
      </c>
      <c r="M27" s="15" t="s">
        <v>371</v>
      </c>
      <c r="N27" s="15" t="s">
        <v>372</v>
      </c>
      <c r="O27" s="13" t="s">
        <v>373</v>
      </c>
      <c r="P27" s="13" t="s">
        <v>374</v>
      </c>
      <c r="Q27" s="15" t="s">
        <v>375</v>
      </c>
      <c r="R27" s="13" t="s">
        <v>376</v>
      </c>
      <c r="S27" s="13" t="s">
        <v>377</v>
      </c>
      <c r="T27" s="13" t="s">
        <v>378</v>
      </c>
      <c r="U27" s="13"/>
      <c r="V27" s="13" t="s">
        <v>70</v>
      </c>
      <c r="W27" s="16"/>
      <c r="X27" s="16"/>
      <c r="Y27" s="16"/>
      <c r="Z27" s="16"/>
      <c r="AA27" s="16"/>
      <c r="AB27" s="16"/>
      <c r="AC27" s="17" t="str">
        <f aca="false">IF(OR(W27="",W27=0),"",(Y27+Z27+AA27+AB27)/W27)</f>
        <v/>
      </c>
    </row>
    <row r="28" customFormat="false" ht="43.25" hidden="false" customHeight="false" outlineLevel="0" collapsed="false">
      <c r="A28" s="18" t="n">
        <v>27</v>
      </c>
      <c r="B28" s="19" t="n">
        <v>46334</v>
      </c>
      <c r="C28" s="18" t="s">
        <v>54</v>
      </c>
      <c r="D28" s="18" t="s">
        <v>71</v>
      </c>
      <c r="E28" s="18" t="s">
        <v>22</v>
      </c>
      <c r="F28" s="13" t="s">
        <v>121</v>
      </c>
      <c r="G28" s="13" t="s">
        <v>122</v>
      </c>
      <c r="H28" s="13" t="s">
        <v>123</v>
      </c>
      <c r="I28" s="13" t="s">
        <v>379</v>
      </c>
      <c r="J28" s="14" t="s">
        <v>380</v>
      </c>
      <c r="K28" s="15" t="s">
        <v>381</v>
      </c>
      <c r="L28" s="13" t="s">
        <v>382</v>
      </c>
      <c r="M28" s="15" t="s">
        <v>383</v>
      </c>
      <c r="N28" s="15" t="s">
        <v>384</v>
      </c>
      <c r="O28" s="13" t="s">
        <v>385</v>
      </c>
      <c r="P28" s="13" t="s">
        <v>386</v>
      </c>
      <c r="Q28" s="15" t="s">
        <v>387</v>
      </c>
      <c r="R28" s="13" t="s">
        <v>388</v>
      </c>
      <c r="S28" s="13" t="s">
        <v>389</v>
      </c>
      <c r="T28" s="13" t="s">
        <v>390</v>
      </c>
      <c r="U28" s="13"/>
      <c r="V28" s="13" t="s">
        <v>70</v>
      </c>
      <c r="W28" s="16"/>
      <c r="X28" s="16"/>
      <c r="Y28" s="16"/>
      <c r="Z28" s="16"/>
      <c r="AA28" s="16"/>
      <c r="AB28" s="16"/>
      <c r="AC28" s="17" t="str">
        <f aca="false">IF(OR(W28="",W28=0),"",(Y28+Z28+AA28+AB28)/W28)</f>
        <v/>
      </c>
    </row>
    <row r="29" customFormat="false" ht="53.7" hidden="false" customHeight="false" outlineLevel="0" collapsed="false">
      <c r="A29" s="20" t="n">
        <v>28</v>
      </c>
      <c r="B29" s="21" t="n">
        <v>46334</v>
      </c>
      <c r="C29" s="20" t="s">
        <v>54</v>
      </c>
      <c r="D29" s="20" t="s">
        <v>136</v>
      </c>
      <c r="E29" s="20" t="s">
        <v>23</v>
      </c>
      <c r="F29" s="13" t="s">
        <v>286</v>
      </c>
      <c r="G29" s="13" t="s">
        <v>122</v>
      </c>
      <c r="H29" s="13" t="s">
        <v>123</v>
      </c>
      <c r="I29" s="13" t="s">
        <v>138</v>
      </c>
      <c r="J29" s="14" t="s">
        <v>391</v>
      </c>
      <c r="K29" s="15" t="s">
        <v>392</v>
      </c>
      <c r="L29" s="13"/>
      <c r="M29" s="13"/>
      <c r="N29" s="15" t="s">
        <v>393</v>
      </c>
      <c r="O29" s="13" t="s">
        <v>394</v>
      </c>
      <c r="P29" s="13" t="s">
        <v>395</v>
      </c>
      <c r="Q29" s="15" t="s">
        <v>396</v>
      </c>
      <c r="R29" s="13" t="s">
        <v>328</v>
      </c>
      <c r="S29" s="13" t="s">
        <v>397</v>
      </c>
      <c r="T29" s="13" t="s">
        <v>398</v>
      </c>
      <c r="U29" s="13"/>
      <c r="V29" s="13" t="s">
        <v>70</v>
      </c>
      <c r="W29" s="16"/>
      <c r="X29" s="16"/>
      <c r="Y29" s="16"/>
      <c r="Z29" s="16"/>
      <c r="AA29" s="16"/>
      <c r="AB29" s="16"/>
      <c r="AC29" s="17" t="str">
        <f aca="false">IF(OR(W29="",W29=0),"",(Y29+Z29+AA29+AB29)/W29)</f>
        <v/>
      </c>
    </row>
    <row r="30" customFormat="false" ht="147.75" hidden="false" customHeight="false" outlineLevel="0" collapsed="false">
      <c r="A30" s="22" t="n">
        <v>29</v>
      </c>
      <c r="B30" s="23" t="n">
        <v>46334</v>
      </c>
      <c r="C30" s="22" t="s">
        <v>54</v>
      </c>
      <c r="D30" s="22" t="s">
        <v>96</v>
      </c>
      <c r="E30" s="22" t="s">
        <v>24</v>
      </c>
      <c r="F30" s="13" t="s">
        <v>399</v>
      </c>
      <c r="G30" s="13" t="s">
        <v>98</v>
      </c>
      <c r="H30" s="13" t="s">
        <v>400</v>
      </c>
      <c r="I30" s="13" t="s">
        <v>401</v>
      </c>
      <c r="J30" s="14" t="s">
        <v>402</v>
      </c>
      <c r="K30" s="13" t="s">
        <v>403</v>
      </c>
      <c r="L30" s="13" t="s">
        <v>404</v>
      </c>
      <c r="M30" s="13"/>
      <c r="N30" s="13"/>
      <c r="O30" s="13" t="s">
        <v>405</v>
      </c>
      <c r="P30" s="13" t="s">
        <v>406</v>
      </c>
      <c r="Q30" s="13" t="s">
        <v>407</v>
      </c>
      <c r="R30" s="13" t="s">
        <v>408</v>
      </c>
      <c r="S30" s="13" t="s">
        <v>409</v>
      </c>
      <c r="T30" s="13"/>
      <c r="U30" s="13"/>
      <c r="V30" s="13" t="s">
        <v>70</v>
      </c>
      <c r="W30" s="16"/>
      <c r="X30" s="16"/>
      <c r="Y30" s="16"/>
      <c r="Z30" s="16"/>
      <c r="AA30" s="16"/>
      <c r="AB30" s="16"/>
      <c r="AC30" s="17" t="str">
        <f aca="false">IF(OR(W30="",W30=0),"",(Y30+Z30+AA30+AB30)/W30)</f>
        <v/>
      </c>
    </row>
    <row r="31" customFormat="false" ht="32.8" hidden="false" customHeight="false" outlineLevel="0" collapsed="false">
      <c r="A31" s="11" t="n">
        <v>30</v>
      </c>
      <c r="B31" s="12" t="n">
        <v>46335</v>
      </c>
      <c r="C31" s="11" t="s">
        <v>108</v>
      </c>
      <c r="D31" s="11" t="s">
        <v>55</v>
      </c>
      <c r="E31" s="11" t="s">
        <v>21</v>
      </c>
      <c r="F31" s="13" t="s">
        <v>410</v>
      </c>
      <c r="G31" s="13" t="s">
        <v>162</v>
      </c>
      <c r="H31" s="13"/>
      <c r="I31" s="13" t="s">
        <v>411</v>
      </c>
      <c r="J31" s="14" t="s">
        <v>412</v>
      </c>
      <c r="K31" s="13" t="s">
        <v>413</v>
      </c>
      <c r="L31" s="13" t="s">
        <v>414</v>
      </c>
      <c r="M31" s="15" t="s">
        <v>415</v>
      </c>
      <c r="N31" s="15" t="s">
        <v>416</v>
      </c>
      <c r="O31" s="13" t="s">
        <v>417</v>
      </c>
      <c r="P31" s="13" t="s">
        <v>418</v>
      </c>
      <c r="Q31" s="15" t="s">
        <v>419</v>
      </c>
      <c r="R31" s="13" t="s">
        <v>342</v>
      </c>
      <c r="S31" s="13" t="s">
        <v>420</v>
      </c>
      <c r="T31" s="13"/>
      <c r="U31" s="13"/>
      <c r="V31" s="13" t="s">
        <v>70</v>
      </c>
      <c r="W31" s="16"/>
      <c r="X31" s="16"/>
      <c r="Y31" s="16"/>
      <c r="Z31" s="16"/>
      <c r="AA31" s="16"/>
      <c r="AB31" s="16"/>
      <c r="AC31" s="17" t="str">
        <f aca="false">IF(OR(W31="",W31=0),"",(Y31+Z31+AA31+AB31)/W31)</f>
        <v/>
      </c>
    </row>
    <row r="32" customFormat="false" ht="22.35" hidden="false" customHeight="false" outlineLevel="0" collapsed="false">
      <c r="A32" s="18" t="n">
        <v>31</v>
      </c>
      <c r="B32" s="19" t="n">
        <v>46335</v>
      </c>
      <c r="C32" s="18" t="s">
        <v>108</v>
      </c>
      <c r="D32" s="18" t="s">
        <v>71</v>
      </c>
      <c r="E32" s="18" t="s">
        <v>22</v>
      </c>
      <c r="F32" s="13" t="s">
        <v>421</v>
      </c>
      <c r="G32" s="13" t="s">
        <v>162</v>
      </c>
      <c r="H32" s="13"/>
      <c r="I32" s="13" t="s">
        <v>422</v>
      </c>
      <c r="J32" s="14" t="s">
        <v>423</v>
      </c>
      <c r="K32" s="15" t="s">
        <v>424</v>
      </c>
      <c r="L32" s="13" t="s">
        <v>425</v>
      </c>
      <c r="M32" s="15" t="s">
        <v>426</v>
      </c>
      <c r="N32" s="15" t="s">
        <v>427</v>
      </c>
      <c r="O32" s="13" t="s">
        <v>428</v>
      </c>
      <c r="P32" s="13" t="s">
        <v>429</v>
      </c>
      <c r="Q32" s="15" t="s">
        <v>430</v>
      </c>
      <c r="R32" s="13" t="s">
        <v>431</v>
      </c>
      <c r="S32" s="13" t="s">
        <v>432</v>
      </c>
      <c r="T32" s="13"/>
      <c r="U32" s="13"/>
      <c r="V32" s="13" t="s">
        <v>70</v>
      </c>
      <c r="W32" s="16"/>
      <c r="X32" s="16"/>
      <c r="Y32" s="16"/>
      <c r="Z32" s="16"/>
      <c r="AA32" s="16"/>
      <c r="AB32" s="16"/>
      <c r="AC32" s="17" t="str">
        <f aca="false">IF(OR(W32="",W32=0),"",(Y32+Z32+AA32+AB32)/W32)</f>
        <v/>
      </c>
    </row>
    <row r="33" customFormat="false" ht="32.8" hidden="false" customHeight="false" outlineLevel="0" collapsed="false">
      <c r="A33" s="20" t="n">
        <v>32</v>
      </c>
      <c r="B33" s="21" t="n">
        <v>46335</v>
      </c>
      <c r="C33" s="20" t="s">
        <v>108</v>
      </c>
      <c r="D33" s="20" t="s">
        <v>247</v>
      </c>
      <c r="E33" s="20" t="s">
        <v>23</v>
      </c>
      <c r="F33" s="13" t="s">
        <v>175</v>
      </c>
      <c r="G33" s="13" t="s">
        <v>162</v>
      </c>
      <c r="H33" s="13"/>
      <c r="I33" s="13" t="s">
        <v>433</v>
      </c>
      <c r="J33" s="14" t="s">
        <v>434</v>
      </c>
      <c r="K33" s="15" t="s">
        <v>435</v>
      </c>
      <c r="L33" s="13"/>
      <c r="M33" s="13"/>
      <c r="N33" s="15" t="s">
        <v>436</v>
      </c>
      <c r="O33" s="13" t="s">
        <v>437</v>
      </c>
      <c r="P33" s="13" t="s">
        <v>438</v>
      </c>
      <c r="Q33" s="15" t="s">
        <v>439</v>
      </c>
      <c r="R33" s="13" t="s">
        <v>440</v>
      </c>
      <c r="S33" s="13" t="s">
        <v>441</v>
      </c>
      <c r="T33" s="13"/>
      <c r="U33" s="13"/>
      <c r="V33" s="13" t="s">
        <v>70</v>
      </c>
      <c r="W33" s="16"/>
      <c r="X33" s="16"/>
      <c r="Y33" s="16"/>
      <c r="Z33" s="16"/>
      <c r="AA33" s="16"/>
      <c r="AB33" s="16"/>
      <c r="AC33" s="17" t="str">
        <f aca="false">IF(OR(W33="",W33=0),"",(Y33+Z33+AA33+AB33)/W33)</f>
        <v/>
      </c>
    </row>
    <row r="34" customFormat="false" ht="32.8" hidden="false" customHeight="false" outlineLevel="0" collapsed="false">
      <c r="A34" s="11" t="n">
        <v>33</v>
      </c>
      <c r="B34" s="12" t="n">
        <v>46336</v>
      </c>
      <c r="C34" s="11" t="s">
        <v>148</v>
      </c>
      <c r="D34" s="11" t="s">
        <v>55</v>
      </c>
      <c r="E34" s="11" t="s">
        <v>21</v>
      </c>
      <c r="F34" s="13" t="s">
        <v>56</v>
      </c>
      <c r="G34" s="13" t="s">
        <v>98</v>
      </c>
      <c r="H34" s="13" t="s">
        <v>442</v>
      </c>
      <c r="I34" s="13" t="s">
        <v>443</v>
      </c>
      <c r="J34" s="14" t="s">
        <v>444</v>
      </c>
      <c r="K34" s="13" t="s">
        <v>445</v>
      </c>
      <c r="L34" s="13" t="s">
        <v>446</v>
      </c>
      <c r="M34" s="15" t="s">
        <v>447</v>
      </c>
      <c r="N34" s="15" t="s">
        <v>448</v>
      </c>
      <c r="O34" s="13" t="s">
        <v>449</v>
      </c>
      <c r="P34" s="13" t="s">
        <v>450</v>
      </c>
      <c r="Q34" s="15" t="s">
        <v>451</v>
      </c>
      <c r="R34" s="13" t="s">
        <v>452</v>
      </c>
      <c r="S34" s="13" t="s">
        <v>453</v>
      </c>
      <c r="T34" s="13" t="s">
        <v>454</v>
      </c>
      <c r="U34" s="13"/>
      <c r="V34" s="13" t="s">
        <v>70</v>
      </c>
      <c r="W34" s="16"/>
      <c r="X34" s="16"/>
      <c r="Y34" s="16"/>
      <c r="Z34" s="16"/>
      <c r="AA34" s="16"/>
      <c r="AB34" s="16"/>
      <c r="AC34" s="17" t="str">
        <f aca="false">IF(OR(W34="",W34=0),"",(Y34+Z34+AA34+AB34)/W34)</f>
        <v/>
      </c>
    </row>
    <row r="35" customFormat="false" ht="43.25" hidden="false" customHeight="false" outlineLevel="0" collapsed="false">
      <c r="A35" s="18" t="n">
        <v>34</v>
      </c>
      <c r="B35" s="19" t="n">
        <v>46336</v>
      </c>
      <c r="C35" s="18" t="s">
        <v>148</v>
      </c>
      <c r="D35" s="18" t="s">
        <v>71</v>
      </c>
      <c r="E35" s="18" t="s">
        <v>22</v>
      </c>
      <c r="F35" s="13" t="s">
        <v>455</v>
      </c>
      <c r="G35" s="13" t="s">
        <v>162</v>
      </c>
      <c r="H35" s="13"/>
      <c r="I35" s="13" t="s">
        <v>275</v>
      </c>
      <c r="J35" s="14" t="s">
        <v>456</v>
      </c>
      <c r="K35" s="15" t="s">
        <v>457</v>
      </c>
      <c r="L35" s="13" t="s">
        <v>458</v>
      </c>
      <c r="M35" s="15" t="s">
        <v>459</v>
      </c>
      <c r="N35" s="15" t="s">
        <v>460</v>
      </c>
      <c r="O35" s="13" t="s">
        <v>461</v>
      </c>
      <c r="P35" s="13" t="s">
        <v>462</v>
      </c>
      <c r="Q35" s="15" t="s">
        <v>463</v>
      </c>
      <c r="R35" s="13" t="s">
        <v>464</v>
      </c>
      <c r="S35" s="13" t="s">
        <v>465</v>
      </c>
      <c r="T35" s="24" t="s">
        <v>466</v>
      </c>
      <c r="U35" s="13"/>
      <c r="V35" s="13" t="s">
        <v>70</v>
      </c>
      <c r="W35" s="16"/>
      <c r="X35" s="16"/>
      <c r="Y35" s="16"/>
      <c r="Z35" s="16"/>
      <c r="AA35" s="16"/>
      <c r="AB35" s="16"/>
      <c r="AC35" s="17" t="str">
        <f aca="false">IF(OR(W35="",W35=0),"",(Y35+Z35+AA35+AB35)/W35)</f>
        <v/>
      </c>
    </row>
    <row r="36" customFormat="false" ht="22.35" hidden="false" customHeight="false" outlineLevel="0" collapsed="false">
      <c r="A36" s="20" t="n">
        <v>35</v>
      </c>
      <c r="B36" s="21" t="n">
        <v>46336</v>
      </c>
      <c r="C36" s="20" t="s">
        <v>148</v>
      </c>
      <c r="D36" s="20" t="s">
        <v>85</v>
      </c>
      <c r="E36" s="20" t="s">
        <v>23</v>
      </c>
      <c r="F36" s="13" t="s">
        <v>175</v>
      </c>
      <c r="G36" s="13" t="s">
        <v>57</v>
      </c>
      <c r="H36" s="13"/>
      <c r="I36" s="13" t="s">
        <v>467</v>
      </c>
      <c r="J36" s="14" t="s">
        <v>468</v>
      </c>
      <c r="K36" s="15" t="s">
        <v>469</v>
      </c>
      <c r="L36" s="13"/>
      <c r="M36" s="13"/>
      <c r="N36" s="15" t="s">
        <v>470</v>
      </c>
      <c r="O36" s="13" t="s">
        <v>471</v>
      </c>
      <c r="P36" s="13" t="s">
        <v>472</v>
      </c>
      <c r="Q36" s="15" t="s">
        <v>473</v>
      </c>
      <c r="R36" s="13" t="s">
        <v>474</v>
      </c>
      <c r="S36" s="13" t="s">
        <v>364</v>
      </c>
      <c r="T36" s="24" t="s">
        <v>475</v>
      </c>
      <c r="U36" s="13"/>
      <c r="V36" s="13" t="s">
        <v>70</v>
      </c>
      <c r="W36" s="16"/>
      <c r="X36" s="16"/>
      <c r="Y36" s="16"/>
      <c r="Z36" s="16"/>
      <c r="AA36" s="16"/>
      <c r="AB36" s="16"/>
      <c r="AC36" s="17" t="str">
        <f aca="false">IF(OR(W36="",W36=0),"",(Y36+Z36+AA36+AB36)/W36)</f>
        <v/>
      </c>
    </row>
    <row r="37" customFormat="false" ht="147.75" hidden="false" customHeight="false" outlineLevel="0" collapsed="false">
      <c r="A37" s="22" t="n">
        <v>36</v>
      </c>
      <c r="B37" s="23" t="n">
        <v>46336</v>
      </c>
      <c r="C37" s="22" t="s">
        <v>148</v>
      </c>
      <c r="D37" s="22" t="s">
        <v>96</v>
      </c>
      <c r="E37" s="22" t="s">
        <v>24</v>
      </c>
      <c r="F37" s="13" t="s">
        <v>322</v>
      </c>
      <c r="G37" s="13" t="s">
        <v>98</v>
      </c>
      <c r="H37" s="13"/>
      <c r="I37" s="13" t="s">
        <v>401</v>
      </c>
      <c r="J37" s="14" t="s">
        <v>476</v>
      </c>
      <c r="K37" s="13" t="s">
        <v>477</v>
      </c>
      <c r="L37" s="13" t="s">
        <v>478</v>
      </c>
      <c r="M37" s="13"/>
      <c r="N37" s="13"/>
      <c r="O37" s="13" t="s">
        <v>479</v>
      </c>
      <c r="P37" s="13" t="s">
        <v>480</v>
      </c>
      <c r="Q37" s="13" t="s">
        <v>481</v>
      </c>
      <c r="R37" s="13" t="s">
        <v>482</v>
      </c>
      <c r="S37" s="13" t="s">
        <v>483</v>
      </c>
      <c r="T37" s="13" t="s">
        <v>484</v>
      </c>
      <c r="U37" s="13"/>
      <c r="V37" s="13" t="s">
        <v>70</v>
      </c>
      <c r="W37" s="16"/>
      <c r="X37" s="16"/>
      <c r="Y37" s="16"/>
      <c r="Z37" s="16"/>
      <c r="AA37" s="16"/>
      <c r="AB37" s="16"/>
      <c r="AC37" s="17" t="str">
        <f aca="false">IF(OR(W37="",W37=0),"",(Y37+Z37+AA37+AB37)/W37)</f>
        <v/>
      </c>
    </row>
    <row r="38" customFormat="false" ht="32.8" hidden="false" customHeight="false" outlineLevel="0" collapsed="false">
      <c r="A38" s="11" t="n">
        <v>37</v>
      </c>
      <c r="B38" s="12" t="n">
        <v>46337</v>
      </c>
      <c r="C38" s="11" t="s">
        <v>195</v>
      </c>
      <c r="D38" s="11" t="s">
        <v>55</v>
      </c>
      <c r="E38" s="11" t="s">
        <v>21</v>
      </c>
      <c r="F38" s="13" t="s">
        <v>149</v>
      </c>
      <c r="G38" s="13" t="s">
        <v>57</v>
      </c>
      <c r="H38" s="13"/>
      <c r="I38" s="13" t="s">
        <v>485</v>
      </c>
      <c r="J38" s="14" t="s">
        <v>486</v>
      </c>
      <c r="K38" s="13" t="s">
        <v>487</v>
      </c>
      <c r="L38" s="13" t="s">
        <v>488</v>
      </c>
      <c r="M38" s="15" t="s">
        <v>489</v>
      </c>
      <c r="N38" s="15" t="s">
        <v>490</v>
      </c>
      <c r="O38" s="13" t="s">
        <v>491</v>
      </c>
      <c r="P38" s="13" t="s">
        <v>492</v>
      </c>
      <c r="Q38" s="15" t="s">
        <v>493</v>
      </c>
      <c r="R38" s="13" t="s">
        <v>494</v>
      </c>
      <c r="S38" s="13" t="s">
        <v>495</v>
      </c>
      <c r="T38" s="24" t="s">
        <v>496</v>
      </c>
      <c r="U38" s="13"/>
      <c r="V38" s="13" t="s">
        <v>70</v>
      </c>
      <c r="W38" s="16"/>
      <c r="X38" s="16"/>
      <c r="Y38" s="16"/>
      <c r="Z38" s="16"/>
      <c r="AA38" s="16"/>
      <c r="AB38" s="16"/>
      <c r="AC38" s="17" t="str">
        <f aca="false">IF(OR(W38="",W38=0),"",(Y38+Z38+AA38+AB38)/W38)</f>
        <v/>
      </c>
    </row>
    <row r="39" customFormat="false" ht="22.35" hidden="false" customHeight="false" outlineLevel="0" collapsed="false">
      <c r="A39" s="18" t="n">
        <v>38</v>
      </c>
      <c r="B39" s="19" t="n">
        <v>46337</v>
      </c>
      <c r="C39" s="18" t="s">
        <v>195</v>
      </c>
      <c r="D39" s="18" t="s">
        <v>71</v>
      </c>
      <c r="E39" s="18" t="s">
        <v>22</v>
      </c>
      <c r="F39" s="13" t="s">
        <v>72</v>
      </c>
      <c r="G39" s="13" t="s">
        <v>57</v>
      </c>
      <c r="H39" s="13"/>
      <c r="I39" s="13" t="s">
        <v>497</v>
      </c>
      <c r="J39" s="14" t="s">
        <v>498</v>
      </c>
      <c r="K39" s="15" t="s">
        <v>499</v>
      </c>
      <c r="L39" s="13" t="s">
        <v>500</v>
      </c>
      <c r="M39" s="15" t="s">
        <v>501</v>
      </c>
      <c r="N39" s="15" t="s">
        <v>502</v>
      </c>
      <c r="O39" s="13" t="s">
        <v>503</v>
      </c>
      <c r="P39" s="13" t="s">
        <v>472</v>
      </c>
      <c r="Q39" s="15" t="s">
        <v>504</v>
      </c>
      <c r="R39" s="13" t="s">
        <v>494</v>
      </c>
      <c r="S39" s="13" t="s">
        <v>505</v>
      </c>
      <c r="T39" s="24" t="s">
        <v>506</v>
      </c>
      <c r="U39" s="13"/>
      <c r="V39" s="13" t="s">
        <v>70</v>
      </c>
      <c r="W39" s="16"/>
      <c r="X39" s="16"/>
      <c r="Y39" s="16"/>
      <c r="Z39" s="16"/>
      <c r="AA39" s="16"/>
      <c r="AB39" s="16"/>
      <c r="AC39" s="17" t="str">
        <f aca="false">IF(OR(W39="",W39=0),"",(Y39+Z39+AA39+AB39)/W39)</f>
        <v/>
      </c>
    </row>
    <row r="40" customFormat="false" ht="22.35" hidden="false" customHeight="false" outlineLevel="0" collapsed="false">
      <c r="A40" s="20" t="n">
        <v>39</v>
      </c>
      <c r="B40" s="21" t="n">
        <v>46337</v>
      </c>
      <c r="C40" s="20" t="s">
        <v>195</v>
      </c>
      <c r="D40" s="20" t="s">
        <v>174</v>
      </c>
      <c r="E40" s="20" t="s">
        <v>23</v>
      </c>
      <c r="F40" s="13" t="s">
        <v>175</v>
      </c>
      <c r="G40" s="13" t="s">
        <v>57</v>
      </c>
      <c r="H40" s="13"/>
      <c r="I40" s="13" t="s">
        <v>497</v>
      </c>
      <c r="J40" s="14" t="s">
        <v>507</v>
      </c>
      <c r="K40" s="15" t="s">
        <v>508</v>
      </c>
      <c r="L40" s="13"/>
      <c r="M40" s="13"/>
      <c r="N40" s="15" t="s">
        <v>509</v>
      </c>
      <c r="O40" s="13" t="s">
        <v>510</v>
      </c>
      <c r="P40" s="13" t="s">
        <v>472</v>
      </c>
      <c r="Q40" s="15" t="s">
        <v>473</v>
      </c>
      <c r="R40" s="13" t="s">
        <v>182</v>
      </c>
      <c r="S40" s="13" t="s">
        <v>511</v>
      </c>
      <c r="T40" s="13" t="s">
        <v>512</v>
      </c>
      <c r="U40" s="13"/>
      <c r="V40" s="13" t="s">
        <v>70</v>
      </c>
      <c r="W40" s="16"/>
      <c r="X40" s="16"/>
      <c r="Y40" s="16"/>
      <c r="Z40" s="16"/>
      <c r="AA40" s="16"/>
      <c r="AB40" s="16"/>
      <c r="AC40" s="17" t="str">
        <f aca="false">IF(OR(W40="",W40=0),"",(Y40+Z40+AA40+AB40)/W40)</f>
        <v/>
      </c>
    </row>
    <row r="41" customFormat="false" ht="53.7" hidden="false" customHeight="false" outlineLevel="0" collapsed="false">
      <c r="A41" s="11" t="n">
        <v>40</v>
      </c>
      <c r="B41" s="12" t="n">
        <v>46338</v>
      </c>
      <c r="C41" s="11" t="s">
        <v>232</v>
      </c>
      <c r="D41" s="11" t="s">
        <v>233</v>
      </c>
      <c r="E41" s="11" t="s">
        <v>21</v>
      </c>
      <c r="F41" s="13" t="s">
        <v>234</v>
      </c>
      <c r="G41" s="13" t="s">
        <v>162</v>
      </c>
      <c r="H41" s="13" t="s">
        <v>235</v>
      </c>
      <c r="I41" s="13" t="s">
        <v>287</v>
      </c>
      <c r="J41" s="14" t="s">
        <v>513</v>
      </c>
      <c r="K41" s="13" t="s">
        <v>514</v>
      </c>
      <c r="L41" s="13" t="s">
        <v>515</v>
      </c>
      <c r="M41" s="15" t="s">
        <v>516</v>
      </c>
      <c r="N41" s="15" t="s">
        <v>517</v>
      </c>
      <c r="O41" s="13" t="s">
        <v>518</v>
      </c>
      <c r="P41" s="13" t="s">
        <v>519</v>
      </c>
      <c r="Q41" s="15" t="s">
        <v>244</v>
      </c>
      <c r="R41" s="13" t="s">
        <v>520</v>
      </c>
      <c r="S41" s="13" t="s">
        <v>521</v>
      </c>
      <c r="T41" s="13"/>
      <c r="U41" s="13"/>
      <c r="V41" s="13" t="s">
        <v>70</v>
      </c>
      <c r="W41" s="16"/>
      <c r="X41" s="16"/>
      <c r="Y41" s="16"/>
      <c r="Z41" s="16"/>
      <c r="AA41" s="16"/>
      <c r="AB41" s="16"/>
      <c r="AC41" s="17" t="str">
        <f aca="false">IF(OR(W41="",W41=0),"",(Y41+Z41+AA41+AB41)/W41)</f>
        <v/>
      </c>
    </row>
    <row r="42" customFormat="false" ht="43.25" hidden="false" customHeight="false" outlineLevel="0" collapsed="false">
      <c r="A42" s="11" t="n">
        <v>41</v>
      </c>
      <c r="B42" s="12" t="n">
        <v>46338</v>
      </c>
      <c r="C42" s="11" t="s">
        <v>232</v>
      </c>
      <c r="D42" s="11" t="s">
        <v>247</v>
      </c>
      <c r="E42" s="11" t="s">
        <v>21</v>
      </c>
      <c r="F42" s="13" t="s">
        <v>196</v>
      </c>
      <c r="G42" s="13" t="s">
        <v>162</v>
      </c>
      <c r="H42" s="13" t="s">
        <v>522</v>
      </c>
      <c r="I42" s="13" t="s">
        <v>523</v>
      </c>
      <c r="J42" s="14" t="s">
        <v>524</v>
      </c>
      <c r="K42" s="13" t="s">
        <v>525</v>
      </c>
      <c r="L42" s="13" t="s">
        <v>526</v>
      </c>
      <c r="M42" s="15" t="s">
        <v>527</v>
      </c>
      <c r="N42" s="15" t="s">
        <v>528</v>
      </c>
      <c r="O42" s="13" t="s">
        <v>529</v>
      </c>
      <c r="P42" s="13" t="s">
        <v>530</v>
      </c>
      <c r="Q42" s="15" t="s">
        <v>531</v>
      </c>
      <c r="R42" s="13" t="s">
        <v>532</v>
      </c>
      <c r="S42" s="13" t="s">
        <v>533</v>
      </c>
      <c r="T42" s="13" t="s">
        <v>534</v>
      </c>
      <c r="U42" s="13"/>
      <c r="V42" s="13" t="s">
        <v>70</v>
      </c>
      <c r="W42" s="16"/>
      <c r="X42" s="16"/>
      <c r="Y42" s="16"/>
      <c r="Z42" s="16"/>
      <c r="AA42" s="16"/>
      <c r="AB42" s="16"/>
      <c r="AC42" s="17" t="str">
        <f aca="false">IF(OR(W42="",W42=0),"",(Y42+Z42+AA42+AB42)/W42)</f>
        <v/>
      </c>
    </row>
    <row r="43" customFormat="false" ht="32.8" hidden="false" customHeight="false" outlineLevel="0" collapsed="false">
      <c r="A43" s="18" t="n">
        <v>42</v>
      </c>
      <c r="B43" s="19" t="n">
        <v>46338</v>
      </c>
      <c r="C43" s="18" t="s">
        <v>232</v>
      </c>
      <c r="D43" s="18" t="s">
        <v>260</v>
      </c>
      <c r="E43" s="18" t="s">
        <v>22</v>
      </c>
      <c r="F43" s="13" t="s">
        <v>121</v>
      </c>
      <c r="G43" s="13" t="s">
        <v>162</v>
      </c>
      <c r="H43" s="13"/>
      <c r="I43" s="13" t="s">
        <v>535</v>
      </c>
      <c r="J43" s="14" t="s">
        <v>536</v>
      </c>
      <c r="K43" s="15" t="s">
        <v>537</v>
      </c>
      <c r="L43" s="13" t="s">
        <v>538</v>
      </c>
      <c r="M43" s="15" t="s">
        <v>539</v>
      </c>
      <c r="N43" s="15" t="s">
        <v>540</v>
      </c>
      <c r="O43" s="13" t="s">
        <v>541</v>
      </c>
      <c r="P43" s="13" t="s">
        <v>542</v>
      </c>
      <c r="Q43" s="15" t="s">
        <v>543</v>
      </c>
      <c r="R43" s="13" t="s">
        <v>544</v>
      </c>
      <c r="S43" s="13" t="s">
        <v>545</v>
      </c>
      <c r="T43" s="13"/>
      <c r="U43" s="13"/>
      <c r="V43" s="13" t="s">
        <v>70</v>
      </c>
      <c r="W43" s="16"/>
      <c r="X43" s="16"/>
      <c r="Y43" s="16"/>
      <c r="Z43" s="16"/>
      <c r="AA43" s="16"/>
      <c r="AB43" s="16"/>
      <c r="AC43" s="17" t="str">
        <f aca="false">IF(OR(W43="",W43=0),"",(Y43+Z43+AA43+AB43)/W43)</f>
        <v/>
      </c>
    </row>
    <row r="44" customFormat="false" ht="32.8" hidden="false" customHeight="false" outlineLevel="0" collapsed="false">
      <c r="A44" s="18" t="n">
        <v>43</v>
      </c>
      <c r="B44" s="19" t="n">
        <v>46338</v>
      </c>
      <c r="C44" s="18" t="s">
        <v>232</v>
      </c>
      <c r="D44" s="18" t="s">
        <v>273</v>
      </c>
      <c r="E44" s="18" t="s">
        <v>22</v>
      </c>
      <c r="F44" s="13" t="s">
        <v>546</v>
      </c>
      <c r="G44" s="13" t="s">
        <v>122</v>
      </c>
      <c r="H44" s="13" t="s">
        <v>123</v>
      </c>
      <c r="I44" s="13" t="s">
        <v>547</v>
      </c>
      <c r="J44" s="14" t="s">
        <v>548</v>
      </c>
      <c r="K44" s="13" t="s">
        <v>549</v>
      </c>
      <c r="L44" s="13" t="s">
        <v>550</v>
      </c>
      <c r="M44" s="15" t="s">
        <v>551</v>
      </c>
      <c r="N44" s="15" t="s">
        <v>552</v>
      </c>
      <c r="O44" s="13" t="s">
        <v>553</v>
      </c>
      <c r="P44" s="13" t="s">
        <v>554</v>
      </c>
      <c r="Q44" s="15" t="s">
        <v>555</v>
      </c>
      <c r="R44" s="13" t="s">
        <v>556</v>
      </c>
      <c r="S44" s="13" t="s">
        <v>557</v>
      </c>
      <c r="T44" s="13" t="s">
        <v>558</v>
      </c>
      <c r="U44" s="13"/>
      <c r="V44" s="13" t="s">
        <v>70</v>
      </c>
      <c r="W44" s="16"/>
      <c r="X44" s="16"/>
      <c r="Y44" s="16"/>
      <c r="Z44" s="16"/>
      <c r="AA44" s="16"/>
      <c r="AB44" s="16"/>
      <c r="AC44" s="17" t="str">
        <f aca="false">IF(OR(W44="",W44=0),"",(Y44+Z44+AA44+AB44)/W44)</f>
        <v/>
      </c>
    </row>
    <row r="45" customFormat="false" ht="64.15" hidden="false" customHeight="false" outlineLevel="0" collapsed="false">
      <c r="A45" s="20" t="n">
        <v>44</v>
      </c>
      <c r="B45" s="21" t="n">
        <v>46338</v>
      </c>
      <c r="C45" s="20" t="s">
        <v>232</v>
      </c>
      <c r="D45" s="20" t="s">
        <v>85</v>
      </c>
      <c r="E45" s="20" t="s">
        <v>23</v>
      </c>
      <c r="F45" s="13" t="s">
        <v>559</v>
      </c>
      <c r="G45" s="13" t="s">
        <v>162</v>
      </c>
      <c r="H45" s="13" t="s">
        <v>522</v>
      </c>
      <c r="I45" s="13" t="s">
        <v>560</v>
      </c>
      <c r="J45" s="14" t="s">
        <v>561</v>
      </c>
      <c r="K45" s="15" t="s">
        <v>562</v>
      </c>
      <c r="L45" s="13"/>
      <c r="M45" s="13"/>
      <c r="N45" s="15" t="s">
        <v>563</v>
      </c>
      <c r="O45" s="13" t="s">
        <v>564</v>
      </c>
      <c r="P45" s="13" t="s">
        <v>565</v>
      </c>
      <c r="Q45" s="15" t="s">
        <v>566</v>
      </c>
      <c r="R45" s="13" t="s">
        <v>567</v>
      </c>
      <c r="S45" s="13" t="s">
        <v>568</v>
      </c>
      <c r="T45" s="13" t="s">
        <v>569</v>
      </c>
      <c r="U45" s="13"/>
      <c r="V45" s="13" t="s">
        <v>70</v>
      </c>
      <c r="W45" s="16"/>
      <c r="X45" s="16"/>
      <c r="Y45" s="16"/>
      <c r="Z45" s="16"/>
      <c r="AA45" s="16"/>
      <c r="AB45" s="16"/>
      <c r="AC45" s="17" t="str">
        <f aca="false">IF(OR(W45="",W45=0),"",(Y45+Z45+AA45+AB45)/W45)</f>
        <v/>
      </c>
    </row>
    <row r="46" customFormat="false" ht="137.3" hidden="false" customHeight="false" outlineLevel="0" collapsed="false">
      <c r="A46" s="22" t="n">
        <v>45</v>
      </c>
      <c r="B46" s="23" t="n">
        <v>46338</v>
      </c>
      <c r="C46" s="22" t="s">
        <v>232</v>
      </c>
      <c r="D46" s="22" t="s">
        <v>96</v>
      </c>
      <c r="E46" s="22" t="s">
        <v>24</v>
      </c>
      <c r="F46" s="13" t="s">
        <v>570</v>
      </c>
      <c r="G46" s="13" t="s">
        <v>73</v>
      </c>
      <c r="H46" s="13"/>
      <c r="I46" s="13" t="s">
        <v>367</v>
      </c>
      <c r="J46" s="14" t="s">
        <v>571</v>
      </c>
      <c r="K46" s="13" t="s">
        <v>572</v>
      </c>
      <c r="L46" s="13"/>
      <c r="M46" s="13"/>
      <c r="N46" s="13"/>
      <c r="O46" s="13" t="s">
        <v>573</v>
      </c>
      <c r="P46" s="13" t="s">
        <v>574</v>
      </c>
      <c r="Q46" s="13" t="s">
        <v>575</v>
      </c>
      <c r="R46" s="13" t="s">
        <v>576</v>
      </c>
      <c r="S46" s="13" t="s">
        <v>577</v>
      </c>
      <c r="T46" s="13" t="s">
        <v>578</v>
      </c>
      <c r="U46" s="13"/>
      <c r="V46" s="13" t="s">
        <v>70</v>
      </c>
      <c r="W46" s="16"/>
      <c r="X46" s="16"/>
      <c r="Y46" s="16"/>
      <c r="Z46" s="16"/>
      <c r="AA46" s="16"/>
      <c r="AB46" s="16"/>
      <c r="AC46" s="17" t="str">
        <f aca="false">IF(OR(W46="",W46=0),"",(Y46+Z46+AA46+AB46)/W46)</f>
        <v/>
      </c>
    </row>
    <row r="47" customFormat="false" ht="43.25" hidden="false" customHeight="false" outlineLevel="0" collapsed="false">
      <c r="A47" s="11" t="n">
        <v>46</v>
      </c>
      <c r="B47" s="12" t="n">
        <v>46339</v>
      </c>
      <c r="C47" s="11" t="s">
        <v>296</v>
      </c>
      <c r="D47" s="11" t="s">
        <v>55</v>
      </c>
      <c r="E47" s="11" t="s">
        <v>21</v>
      </c>
      <c r="F47" s="13" t="s">
        <v>56</v>
      </c>
      <c r="G47" s="13" t="s">
        <v>73</v>
      </c>
      <c r="H47" s="13"/>
      <c r="I47" s="13" t="s">
        <v>579</v>
      </c>
      <c r="J47" s="14" t="s">
        <v>580</v>
      </c>
      <c r="K47" s="13" t="s">
        <v>581</v>
      </c>
      <c r="L47" s="13" t="s">
        <v>582</v>
      </c>
      <c r="M47" s="15" t="s">
        <v>583</v>
      </c>
      <c r="N47" s="15" t="s">
        <v>584</v>
      </c>
      <c r="O47" s="13" t="s">
        <v>585</v>
      </c>
      <c r="P47" s="13" t="s">
        <v>586</v>
      </c>
      <c r="Q47" s="15" t="s">
        <v>587</v>
      </c>
      <c r="R47" s="13" t="s">
        <v>588</v>
      </c>
      <c r="S47" s="13" t="s">
        <v>589</v>
      </c>
      <c r="T47" s="13" t="s">
        <v>590</v>
      </c>
      <c r="U47" s="13"/>
      <c r="V47" s="13" t="s">
        <v>70</v>
      </c>
      <c r="W47" s="16"/>
      <c r="X47" s="16"/>
      <c r="Y47" s="16"/>
      <c r="Z47" s="16"/>
      <c r="AA47" s="16"/>
      <c r="AB47" s="16"/>
      <c r="AC47" s="17" t="str">
        <f aca="false">IF(OR(W47="",W47=0),"",(Y47+Z47+AA47+AB47)/W47)</f>
        <v/>
      </c>
    </row>
    <row r="48" customFormat="false" ht="22.35" hidden="false" customHeight="false" outlineLevel="0" collapsed="false">
      <c r="A48" s="18" t="n">
        <v>47</v>
      </c>
      <c r="B48" s="19" t="n">
        <v>46339</v>
      </c>
      <c r="C48" s="18" t="s">
        <v>296</v>
      </c>
      <c r="D48" s="18" t="s">
        <v>71</v>
      </c>
      <c r="E48" s="18" t="s">
        <v>22</v>
      </c>
      <c r="F48" s="13" t="s">
        <v>591</v>
      </c>
      <c r="G48" s="13" t="s">
        <v>73</v>
      </c>
      <c r="H48" s="13"/>
      <c r="I48" s="13" t="s">
        <v>592</v>
      </c>
      <c r="J48" s="14" t="s">
        <v>593</v>
      </c>
      <c r="K48" s="15" t="s">
        <v>594</v>
      </c>
      <c r="L48" s="13" t="s">
        <v>593</v>
      </c>
      <c r="M48" s="15" t="s">
        <v>595</v>
      </c>
      <c r="N48" s="15" t="s">
        <v>596</v>
      </c>
      <c r="O48" s="13" t="s">
        <v>597</v>
      </c>
      <c r="P48" s="13" t="s">
        <v>598</v>
      </c>
      <c r="Q48" s="15" t="s">
        <v>599</v>
      </c>
      <c r="R48" s="13" t="s">
        <v>600</v>
      </c>
      <c r="S48" s="13" t="s">
        <v>601</v>
      </c>
      <c r="T48" s="13"/>
      <c r="U48" s="13"/>
      <c r="V48" s="13" t="s">
        <v>70</v>
      </c>
      <c r="W48" s="16"/>
      <c r="X48" s="16"/>
      <c r="Y48" s="16"/>
      <c r="Z48" s="16"/>
      <c r="AA48" s="16"/>
      <c r="AB48" s="16"/>
      <c r="AC48" s="17" t="str">
        <f aca="false">IF(OR(W48="",W48=0),"",(Y48+Z48+AA48+AB48)/W48)</f>
        <v/>
      </c>
    </row>
    <row r="49" customFormat="false" ht="22.35" hidden="false" customHeight="false" outlineLevel="0" collapsed="false">
      <c r="A49" s="20" t="n">
        <v>48</v>
      </c>
      <c r="B49" s="21" t="n">
        <v>46339</v>
      </c>
      <c r="C49" s="20" t="s">
        <v>296</v>
      </c>
      <c r="D49" s="20" t="s">
        <v>602</v>
      </c>
      <c r="E49" s="20" t="s">
        <v>23</v>
      </c>
      <c r="F49" s="13" t="s">
        <v>175</v>
      </c>
      <c r="G49" s="13" t="s">
        <v>57</v>
      </c>
      <c r="H49" s="13"/>
      <c r="I49" s="13" t="s">
        <v>592</v>
      </c>
      <c r="J49" s="14" t="s">
        <v>603</v>
      </c>
      <c r="K49" s="15" t="s">
        <v>604</v>
      </c>
      <c r="L49" s="13"/>
      <c r="M49" s="13"/>
      <c r="N49" s="15" t="s">
        <v>605</v>
      </c>
      <c r="O49" s="13" t="s">
        <v>606</v>
      </c>
      <c r="P49" s="13"/>
      <c r="Q49" s="15" t="s">
        <v>607</v>
      </c>
      <c r="R49" s="13" t="s">
        <v>363</v>
      </c>
      <c r="S49" s="13" t="s">
        <v>608</v>
      </c>
      <c r="T49" s="13" t="s">
        <v>609</v>
      </c>
      <c r="U49" s="13"/>
      <c r="V49" s="13" t="s">
        <v>70</v>
      </c>
      <c r="W49" s="16"/>
      <c r="X49" s="16"/>
      <c r="Y49" s="16"/>
      <c r="Z49" s="16"/>
      <c r="AA49" s="16"/>
      <c r="AB49" s="16"/>
      <c r="AC49" s="17" t="str">
        <f aca="false">IF(OR(W49="",W49=0),"",(Y49+Z49+AA49+AB49)/W49)</f>
        <v/>
      </c>
    </row>
    <row r="50" customFormat="false" ht="43.25" hidden="false" customHeight="false" outlineLevel="0" collapsed="false">
      <c r="A50" s="11" t="n">
        <v>49</v>
      </c>
      <c r="B50" s="12" t="n">
        <v>46340</v>
      </c>
      <c r="C50" s="11" t="s">
        <v>331</v>
      </c>
      <c r="D50" s="11" t="s">
        <v>260</v>
      </c>
      <c r="E50" s="11" t="s">
        <v>21</v>
      </c>
      <c r="F50" s="13" t="s">
        <v>410</v>
      </c>
      <c r="G50" s="13" t="s">
        <v>162</v>
      </c>
      <c r="H50" s="13"/>
      <c r="I50" s="13" t="s">
        <v>610</v>
      </c>
      <c r="J50" s="14" t="s">
        <v>611</v>
      </c>
      <c r="K50" s="13" t="s">
        <v>612</v>
      </c>
      <c r="L50" s="13" t="s">
        <v>613</v>
      </c>
      <c r="M50" s="15" t="s">
        <v>614</v>
      </c>
      <c r="N50" s="15" t="s">
        <v>615</v>
      </c>
      <c r="O50" s="13" t="s">
        <v>616</v>
      </c>
      <c r="P50" s="13" t="s">
        <v>617</v>
      </c>
      <c r="Q50" s="15" t="s">
        <v>618</v>
      </c>
      <c r="R50" s="13" t="s">
        <v>619</v>
      </c>
      <c r="S50" s="13" t="s">
        <v>620</v>
      </c>
      <c r="T50" s="13" t="s">
        <v>621</v>
      </c>
      <c r="U50" s="13"/>
      <c r="V50" s="13" t="s">
        <v>70</v>
      </c>
      <c r="W50" s="16"/>
      <c r="X50" s="16"/>
      <c r="Y50" s="16"/>
      <c r="Z50" s="16"/>
      <c r="AA50" s="16"/>
      <c r="AB50" s="16"/>
      <c r="AC50" s="17" t="str">
        <f aca="false">IF(OR(W50="",W50=0),"",(Y50+Z50+AA50+AB50)/W50)</f>
        <v/>
      </c>
    </row>
    <row r="51" customFormat="false" ht="22.35" hidden="false" customHeight="false" outlineLevel="0" collapsed="false">
      <c r="A51" s="18" t="n">
        <v>50</v>
      </c>
      <c r="B51" s="19" t="n">
        <v>46340</v>
      </c>
      <c r="C51" s="18" t="s">
        <v>331</v>
      </c>
      <c r="D51" s="18" t="s">
        <v>71</v>
      </c>
      <c r="E51" s="18" t="s">
        <v>22</v>
      </c>
      <c r="F51" s="13" t="s">
        <v>622</v>
      </c>
      <c r="G51" s="13" t="s">
        <v>162</v>
      </c>
      <c r="H51" s="13"/>
      <c r="I51" s="13" t="s">
        <v>623</v>
      </c>
      <c r="J51" s="14" t="s">
        <v>624</v>
      </c>
      <c r="K51" s="15" t="s">
        <v>625</v>
      </c>
      <c r="L51" s="13" t="s">
        <v>626</v>
      </c>
      <c r="M51" s="15" t="s">
        <v>627</v>
      </c>
      <c r="N51" s="15" t="s">
        <v>628</v>
      </c>
      <c r="O51" s="13" t="s">
        <v>629</v>
      </c>
      <c r="P51" s="13" t="s">
        <v>630</v>
      </c>
      <c r="Q51" s="15" t="s">
        <v>631</v>
      </c>
      <c r="R51" s="13" t="s">
        <v>632</v>
      </c>
      <c r="S51" s="13" t="s">
        <v>633</v>
      </c>
      <c r="T51" s="13"/>
      <c r="U51" s="13"/>
      <c r="V51" s="13" t="s">
        <v>70</v>
      </c>
      <c r="W51" s="16"/>
      <c r="X51" s="16"/>
      <c r="Y51" s="16"/>
      <c r="Z51" s="16"/>
      <c r="AA51" s="16"/>
      <c r="AB51" s="16"/>
      <c r="AC51" s="17" t="str">
        <f aca="false">IF(OR(W51="",W51=0),"",(Y51+Z51+AA51+AB51)/W51)</f>
        <v/>
      </c>
    </row>
    <row r="52" customFormat="false" ht="22.35" hidden="false" customHeight="false" outlineLevel="0" collapsed="false">
      <c r="A52" s="20" t="n">
        <v>51</v>
      </c>
      <c r="B52" s="21" t="n">
        <v>46340</v>
      </c>
      <c r="C52" s="20" t="s">
        <v>331</v>
      </c>
      <c r="D52" s="20" t="s">
        <v>85</v>
      </c>
      <c r="E52" s="20" t="s">
        <v>23</v>
      </c>
      <c r="F52" s="13" t="s">
        <v>175</v>
      </c>
      <c r="G52" s="13" t="s">
        <v>162</v>
      </c>
      <c r="H52" s="13"/>
      <c r="I52" s="13" t="s">
        <v>634</v>
      </c>
      <c r="J52" s="14" t="s">
        <v>623</v>
      </c>
      <c r="K52" s="15" t="s">
        <v>635</v>
      </c>
      <c r="L52" s="13"/>
      <c r="M52" s="13"/>
      <c r="N52" s="15" t="s">
        <v>636</v>
      </c>
      <c r="O52" s="13" t="s">
        <v>637</v>
      </c>
      <c r="P52" s="13" t="s">
        <v>638</v>
      </c>
      <c r="Q52" s="15" t="s">
        <v>639</v>
      </c>
      <c r="R52" s="13" t="s">
        <v>363</v>
      </c>
      <c r="S52" s="13" t="s">
        <v>364</v>
      </c>
      <c r="T52" s="13"/>
      <c r="U52" s="13"/>
      <c r="V52" s="13" t="s">
        <v>70</v>
      </c>
      <c r="W52" s="16"/>
      <c r="X52" s="16"/>
      <c r="Y52" s="16"/>
      <c r="Z52" s="16"/>
      <c r="AA52" s="16"/>
      <c r="AB52" s="16"/>
      <c r="AC52" s="17" t="str">
        <f aca="false">IF(OR(W52="",W52=0),"",(Y52+Z52+AA52+AB52)/W52)</f>
        <v/>
      </c>
    </row>
    <row r="53" customFormat="false" ht="32.8" hidden="false" customHeight="false" outlineLevel="0" collapsed="false">
      <c r="A53" s="11" t="n">
        <v>52</v>
      </c>
      <c r="B53" s="12" t="n">
        <v>46341</v>
      </c>
      <c r="C53" s="11" t="s">
        <v>54</v>
      </c>
      <c r="D53" s="11" t="s">
        <v>55</v>
      </c>
      <c r="E53" s="11" t="s">
        <v>21</v>
      </c>
      <c r="F53" s="13" t="s">
        <v>248</v>
      </c>
      <c r="G53" s="13" t="s">
        <v>162</v>
      </c>
      <c r="H53" s="13"/>
      <c r="I53" s="13" t="s">
        <v>640</v>
      </c>
      <c r="J53" s="14" t="s">
        <v>641</v>
      </c>
      <c r="K53" s="13" t="s">
        <v>642</v>
      </c>
      <c r="L53" s="13" t="s">
        <v>643</v>
      </c>
      <c r="M53" s="15" t="s">
        <v>644</v>
      </c>
      <c r="N53" s="15" t="s">
        <v>645</v>
      </c>
      <c r="O53" s="13" t="s">
        <v>646</v>
      </c>
      <c r="P53" s="13" t="s">
        <v>647</v>
      </c>
      <c r="Q53" s="15" t="s">
        <v>648</v>
      </c>
      <c r="R53" s="13" t="s">
        <v>649</v>
      </c>
      <c r="S53" s="13" t="s">
        <v>650</v>
      </c>
      <c r="T53" s="13" t="s">
        <v>651</v>
      </c>
      <c r="U53" s="13"/>
      <c r="V53" s="13" t="s">
        <v>70</v>
      </c>
      <c r="W53" s="16"/>
      <c r="X53" s="16"/>
      <c r="Y53" s="16"/>
      <c r="Z53" s="16"/>
      <c r="AA53" s="16"/>
      <c r="AB53" s="16"/>
      <c r="AC53" s="17" t="str">
        <f aca="false">IF(OR(W53="",W53=0),"",(Y53+Z53+AA53+AB53)/W53)</f>
        <v/>
      </c>
    </row>
    <row r="54" customFormat="false" ht="22.35" hidden="false" customHeight="false" outlineLevel="0" collapsed="false">
      <c r="A54" s="18" t="n">
        <v>53</v>
      </c>
      <c r="B54" s="19" t="n">
        <v>46341</v>
      </c>
      <c r="C54" s="18" t="s">
        <v>54</v>
      </c>
      <c r="D54" s="18" t="s">
        <v>71</v>
      </c>
      <c r="E54" s="18" t="s">
        <v>22</v>
      </c>
      <c r="F54" s="13" t="s">
        <v>72</v>
      </c>
      <c r="G54" s="13" t="s">
        <v>162</v>
      </c>
      <c r="H54" s="13"/>
      <c r="I54" s="13" t="s">
        <v>652</v>
      </c>
      <c r="J54" s="14" t="s">
        <v>653</v>
      </c>
      <c r="K54" s="15" t="s">
        <v>654</v>
      </c>
      <c r="L54" s="13" t="s">
        <v>655</v>
      </c>
      <c r="M54" s="15" t="s">
        <v>656</v>
      </c>
      <c r="N54" s="15" t="s">
        <v>657</v>
      </c>
      <c r="O54" s="13" t="s">
        <v>658</v>
      </c>
      <c r="P54" s="13" t="s">
        <v>659</v>
      </c>
      <c r="Q54" s="15" t="s">
        <v>660</v>
      </c>
      <c r="R54" s="13" t="s">
        <v>661</v>
      </c>
      <c r="S54" s="13" t="s">
        <v>662</v>
      </c>
      <c r="T54" s="13" t="s">
        <v>663</v>
      </c>
      <c r="U54" s="13"/>
      <c r="V54" s="13" t="s">
        <v>70</v>
      </c>
      <c r="W54" s="16"/>
      <c r="X54" s="16"/>
      <c r="Y54" s="16"/>
      <c r="Z54" s="16"/>
      <c r="AA54" s="16"/>
      <c r="AB54" s="16"/>
      <c r="AC54" s="17" t="str">
        <f aca="false">IF(OR(W54="",W54=0),"",(Y54+Z54+AA54+AB54)/W54)</f>
        <v/>
      </c>
    </row>
    <row r="55" customFormat="false" ht="22.35" hidden="false" customHeight="false" outlineLevel="0" collapsed="false">
      <c r="A55" s="20" t="n">
        <v>54</v>
      </c>
      <c r="B55" s="21" t="n">
        <v>46341</v>
      </c>
      <c r="C55" s="20" t="s">
        <v>54</v>
      </c>
      <c r="D55" s="20" t="s">
        <v>174</v>
      </c>
      <c r="E55" s="20" t="s">
        <v>23</v>
      </c>
      <c r="F55" s="13" t="s">
        <v>175</v>
      </c>
      <c r="G55" s="13" t="s">
        <v>162</v>
      </c>
      <c r="H55" s="13"/>
      <c r="I55" s="13" t="s">
        <v>664</v>
      </c>
      <c r="J55" s="14" t="s">
        <v>665</v>
      </c>
      <c r="K55" s="15" t="s">
        <v>666</v>
      </c>
      <c r="L55" s="13"/>
      <c r="M55" s="13"/>
      <c r="N55" s="15" t="s">
        <v>667</v>
      </c>
      <c r="O55" s="13" t="s">
        <v>668</v>
      </c>
      <c r="P55" s="13" t="s">
        <v>669</v>
      </c>
      <c r="Q55" s="15" t="s">
        <v>670</v>
      </c>
      <c r="R55" s="13" t="s">
        <v>671</v>
      </c>
      <c r="S55" s="13" t="s">
        <v>672</v>
      </c>
      <c r="T55" s="13"/>
      <c r="U55" s="13"/>
      <c r="V55" s="13" t="s">
        <v>70</v>
      </c>
      <c r="W55" s="16"/>
      <c r="X55" s="16"/>
      <c r="Y55" s="16"/>
      <c r="Z55" s="16"/>
      <c r="AA55" s="16"/>
      <c r="AB55" s="16"/>
      <c r="AC55" s="17" t="str">
        <f aca="false">IF(OR(W55="",W55=0),"",(Y55+Z55+AA55+AB55)/W55)</f>
        <v/>
      </c>
    </row>
    <row r="56" customFormat="false" ht="137.3" hidden="false" customHeight="false" outlineLevel="0" collapsed="false">
      <c r="A56" s="22" t="n">
        <v>55</v>
      </c>
      <c r="B56" s="23" t="n">
        <v>46341</v>
      </c>
      <c r="C56" s="22" t="s">
        <v>54</v>
      </c>
      <c r="D56" s="22" t="s">
        <v>96</v>
      </c>
      <c r="E56" s="22" t="s">
        <v>24</v>
      </c>
      <c r="F56" s="13" t="s">
        <v>673</v>
      </c>
      <c r="G56" s="13" t="s">
        <v>98</v>
      </c>
      <c r="H56" s="13"/>
      <c r="I56" s="13" t="s">
        <v>674</v>
      </c>
      <c r="J56" s="14" t="s">
        <v>675</v>
      </c>
      <c r="K56" s="13" t="s">
        <v>676</v>
      </c>
      <c r="L56" s="13" t="s">
        <v>677</v>
      </c>
      <c r="M56" s="13"/>
      <c r="N56" s="13"/>
      <c r="O56" s="13" t="s">
        <v>678</v>
      </c>
      <c r="P56" s="13" t="s">
        <v>679</v>
      </c>
      <c r="Q56" s="13" t="s">
        <v>680</v>
      </c>
      <c r="R56" s="13" t="s">
        <v>681</v>
      </c>
      <c r="S56" s="13" t="s">
        <v>682</v>
      </c>
      <c r="T56" s="13" t="s">
        <v>683</v>
      </c>
      <c r="U56" s="13"/>
      <c r="V56" s="13" t="s">
        <v>70</v>
      </c>
      <c r="W56" s="16"/>
      <c r="X56" s="16"/>
      <c r="Y56" s="16"/>
      <c r="Z56" s="16"/>
      <c r="AA56" s="16"/>
      <c r="AB56" s="16"/>
      <c r="AC56" s="17" t="str">
        <f aca="false">IF(OR(W56="",W56=0),"",(Y56+Z56+AA56+AB56)/W56)</f>
        <v/>
      </c>
    </row>
    <row r="57" customFormat="false" ht="43.25" hidden="false" customHeight="false" outlineLevel="0" collapsed="false">
      <c r="A57" s="11" t="n">
        <v>56</v>
      </c>
      <c r="B57" s="12" t="n">
        <v>46342</v>
      </c>
      <c r="C57" s="11" t="s">
        <v>108</v>
      </c>
      <c r="D57" s="11" t="s">
        <v>55</v>
      </c>
      <c r="E57" s="11" t="s">
        <v>21</v>
      </c>
      <c r="F57" s="13" t="s">
        <v>410</v>
      </c>
      <c r="G57" s="13" t="s">
        <v>122</v>
      </c>
      <c r="H57" s="13"/>
      <c r="I57" s="13" t="s">
        <v>684</v>
      </c>
      <c r="J57" s="14" t="s">
        <v>685</v>
      </c>
      <c r="K57" s="13" t="s">
        <v>686</v>
      </c>
      <c r="L57" s="13" t="s">
        <v>687</v>
      </c>
      <c r="M57" s="15" t="s">
        <v>688</v>
      </c>
      <c r="N57" s="15" t="s">
        <v>689</v>
      </c>
      <c r="O57" s="13" t="s">
        <v>690</v>
      </c>
      <c r="P57" s="13" t="s">
        <v>691</v>
      </c>
      <c r="Q57" s="15" t="s">
        <v>692</v>
      </c>
      <c r="R57" s="13" t="s">
        <v>693</v>
      </c>
      <c r="S57" s="13" t="s">
        <v>694</v>
      </c>
      <c r="T57" s="13"/>
      <c r="U57" s="13"/>
      <c r="V57" s="13" t="s">
        <v>70</v>
      </c>
      <c r="W57" s="16"/>
      <c r="X57" s="16"/>
      <c r="Y57" s="16"/>
      <c r="Z57" s="16"/>
      <c r="AA57" s="16"/>
      <c r="AB57" s="16"/>
      <c r="AC57" s="17" t="str">
        <f aca="false">IF(OR(W57="",W57=0),"",(Y57+Z57+AA57+AB57)/W57)</f>
        <v/>
      </c>
    </row>
    <row r="58" customFormat="false" ht="32.8" hidden="false" customHeight="false" outlineLevel="0" collapsed="false">
      <c r="A58" s="18" t="n">
        <v>57</v>
      </c>
      <c r="B58" s="19" t="n">
        <v>46342</v>
      </c>
      <c r="C58" s="18" t="s">
        <v>108</v>
      </c>
      <c r="D58" s="18" t="s">
        <v>71</v>
      </c>
      <c r="E58" s="18" t="s">
        <v>22</v>
      </c>
      <c r="F58" s="13" t="s">
        <v>695</v>
      </c>
      <c r="G58" s="13" t="s">
        <v>122</v>
      </c>
      <c r="H58" s="13"/>
      <c r="I58" s="13" t="s">
        <v>696</v>
      </c>
      <c r="J58" s="14" t="s">
        <v>697</v>
      </c>
      <c r="K58" s="13" t="s">
        <v>698</v>
      </c>
      <c r="L58" s="13" t="s">
        <v>699</v>
      </c>
      <c r="M58" s="15" t="s">
        <v>700</v>
      </c>
      <c r="N58" s="15" t="s">
        <v>701</v>
      </c>
      <c r="O58" s="13" t="s">
        <v>702</v>
      </c>
      <c r="P58" s="13" t="s">
        <v>703</v>
      </c>
      <c r="Q58" s="15" t="s">
        <v>704</v>
      </c>
      <c r="R58" s="13" t="s">
        <v>705</v>
      </c>
      <c r="S58" s="13" t="s">
        <v>706</v>
      </c>
      <c r="T58" s="13"/>
      <c r="U58" s="13"/>
      <c r="V58" s="13" t="s">
        <v>70</v>
      </c>
      <c r="W58" s="16"/>
      <c r="X58" s="16"/>
      <c r="Y58" s="16"/>
      <c r="Z58" s="16"/>
      <c r="AA58" s="16"/>
      <c r="AB58" s="16"/>
      <c r="AC58" s="17" t="str">
        <f aca="false">IF(OR(W58="",W58=0),"",(Y58+Z58+AA58+AB58)/W58)</f>
        <v/>
      </c>
    </row>
    <row r="59" customFormat="false" ht="43.25" hidden="false" customHeight="false" outlineLevel="0" collapsed="false">
      <c r="A59" s="20" t="n">
        <v>58</v>
      </c>
      <c r="B59" s="21" t="n">
        <v>46342</v>
      </c>
      <c r="C59" s="20" t="s">
        <v>108</v>
      </c>
      <c r="D59" s="20" t="s">
        <v>85</v>
      </c>
      <c r="E59" s="20" t="s">
        <v>23</v>
      </c>
      <c r="F59" s="13" t="s">
        <v>286</v>
      </c>
      <c r="G59" s="13" t="s">
        <v>98</v>
      </c>
      <c r="H59" s="13"/>
      <c r="I59" s="13" t="s">
        <v>707</v>
      </c>
      <c r="J59" s="14" t="s">
        <v>708</v>
      </c>
      <c r="K59" s="15" t="s">
        <v>709</v>
      </c>
      <c r="L59" s="13"/>
      <c r="M59" s="13"/>
      <c r="N59" s="15" t="s">
        <v>710</v>
      </c>
      <c r="O59" s="13" t="s">
        <v>711</v>
      </c>
      <c r="P59" s="13" t="s">
        <v>712</v>
      </c>
      <c r="Q59" s="15" t="s">
        <v>713</v>
      </c>
      <c r="R59" s="13" t="s">
        <v>714</v>
      </c>
      <c r="S59" s="13" t="s">
        <v>397</v>
      </c>
      <c r="T59" s="13"/>
      <c r="U59" s="13"/>
      <c r="V59" s="13" t="s">
        <v>70</v>
      </c>
      <c r="W59" s="16"/>
      <c r="X59" s="16"/>
      <c r="Y59" s="16"/>
      <c r="Z59" s="16"/>
      <c r="AA59" s="16"/>
      <c r="AB59" s="16"/>
      <c r="AC59" s="17" t="str">
        <f aca="false">IF(OR(W59="",W59=0),"",(Y59+Z59+AA59+AB59)/W59)</f>
        <v/>
      </c>
    </row>
    <row r="60" customFormat="false" ht="32.8" hidden="false" customHeight="false" outlineLevel="0" collapsed="false">
      <c r="A60" s="11" t="n">
        <v>59</v>
      </c>
      <c r="B60" s="12" t="n">
        <v>46343</v>
      </c>
      <c r="C60" s="11" t="s">
        <v>148</v>
      </c>
      <c r="D60" s="11" t="s">
        <v>55</v>
      </c>
      <c r="E60" s="11" t="s">
        <v>21</v>
      </c>
      <c r="F60" s="13" t="s">
        <v>365</v>
      </c>
      <c r="G60" s="13" t="s">
        <v>73</v>
      </c>
      <c r="H60" s="13" t="s">
        <v>73</v>
      </c>
      <c r="I60" s="13" t="s">
        <v>634</v>
      </c>
      <c r="J60" s="14" t="s">
        <v>715</v>
      </c>
      <c r="K60" s="15" t="s">
        <v>716</v>
      </c>
      <c r="L60" s="13" t="s">
        <v>717</v>
      </c>
      <c r="M60" s="15" t="s">
        <v>718</v>
      </c>
      <c r="N60" s="15" t="s">
        <v>719</v>
      </c>
      <c r="O60" s="13" t="s">
        <v>720</v>
      </c>
      <c r="P60" s="13" t="s">
        <v>721</v>
      </c>
      <c r="Q60" s="15" t="s">
        <v>722</v>
      </c>
      <c r="R60" s="13" t="s">
        <v>723</v>
      </c>
      <c r="S60" s="13" t="s">
        <v>724</v>
      </c>
      <c r="T60" s="13" t="s">
        <v>725</v>
      </c>
      <c r="U60" s="13"/>
      <c r="V60" s="13" t="s">
        <v>70</v>
      </c>
      <c r="W60" s="16"/>
      <c r="X60" s="16"/>
      <c r="Y60" s="16"/>
      <c r="Z60" s="16"/>
      <c r="AA60" s="16"/>
      <c r="AB60" s="16"/>
      <c r="AC60" s="17" t="str">
        <f aca="false">IF(OR(W60="",W60=0),"",(Y60+Z60+AA60+AB60)/W60)</f>
        <v/>
      </c>
    </row>
    <row r="61" customFormat="false" ht="22.35" hidden="false" customHeight="false" outlineLevel="0" collapsed="false">
      <c r="A61" s="18" t="n">
        <v>60</v>
      </c>
      <c r="B61" s="19" t="n">
        <v>46343</v>
      </c>
      <c r="C61" s="18" t="s">
        <v>148</v>
      </c>
      <c r="D61" s="18" t="s">
        <v>71</v>
      </c>
      <c r="E61" s="18" t="s">
        <v>22</v>
      </c>
      <c r="F61" s="13" t="s">
        <v>726</v>
      </c>
      <c r="G61" s="13" t="s">
        <v>122</v>
      </c>
      <c r="H61" s="13"/>
      <c r="I61" s="13" t="s">
        <v>634</v>
      </c>
      <c r="J61" s="14" t="s">
        <v>727</v>
      </c>
      <c r="K61" s="15" t="s">
        <v>728</v>
      </c>
      <c r="L61" s="13" t="s">
        <v>729</v>
      </c>
      <c r="M61" s="15" t="s">
        <v>730</v>
      </c>
      <c r="N61" s="15" t="s">
        <v>731</v>
      </c>
      <c r="O61" s="13" t="s">
        <v>732</v>
      </c>
      <c r="P61" s="13" t="s">
        <v>733</v>
      </c>
      <c r="Q61" s="15" t="s">
        <v>734</v>
      </c>
      <c r="R61" s="13" t="s">
        <v>342</v>
      </c>
      <c r="S61" s="13" t="s">
        <v>735</v>
      </c>
      <c r="T61" s="13"/>
      <c r="U61" s="13"/>
      <c r="V61" s="13" t="s">
        <v>70</v>
      </c>
      <c r="W61" s="16"/>
      <c r="X61" s="16"/>
      <c r="Y61" s="16"/>
      <c r="Z61" s="16"/>
      <c r="AA61" s="16"/>
      <c r="AB61" s="16"/>
      <c r="AC61" s="17" t="str">
        <f aca="false">IF(OR(W61="",W61=0),"",(Y61+Z61+AA61+AB61)/W61)</f>
        <v/>
      </c>
    </row>
    <row r="62" customFormat="false" ht="15" hidden="false" customHeight="false" outlineLevel="0" collapsed="false">
      <c r="A62" s="20" t="n">
        <v>61</v>
      </c>
      <c r="B62" s="21" t="n">
        <v>46343</v>
      </c>
      <c r="C62" s="20" t="s">
        <v>148</v>
      </c>
      <c r="D62" s="20" t="s">
        <v>221</v>
      </c>
      <c r="E62" s="20" t="s">
        <v>23</v>
      </c>
      <c r="F62" s="13" t="s">
        <v>222</v>
      </c>
      <c r="G62" s="13" t="s">
        <v>162</v>
      </c>
      <c r="H62" s="13"/>
      <c r="I62" s="13" t="s">
        <v>634</v>
      </c>
      <c r="J62" s="14" t="s">
        <v>736</v>
      </c>
      <c r="K62" s="15" t="s">
        <v>737</v>
      </c>
      <c r="L62" s="13"/>
      <c r="M62" s="13"/>
      <c r="N62" s="15" t="s">
        <v>738</v>
      </c>
      <c r="O62" s="13" t="s">
        <v>736</v>
      </c>
      <c r="P62" s="13" t="s">
        <v>638</v>
      </c>
      <c r="Q62" s="15" t="s">
        <v>639</v>
      </c>
      <c r="R62" s="13" t="s">
        <v>230</v>
      </c>
      <c r="S62" s="13" t="s">
        <v>739</v>
      </c>
      <c r="T62" s="13"/>
      <c r="U62" s="13"/>
      <c r="V62" s="13" t="s">
        <v>70</v>
      </c>
      <c r="W62" s="16"/>
      <c r="X62" s="16"/>
      <c r="Y62" s="16"/>
      <c r="Z62" s="16"/>
      <c r="AA62" s="16"/>
      <c r="AB62" s="16"/>
      <c r="AC62" s="17" t="str">
        <f aca="false">IF(OR(W62="",W62=0),"",(Y62+Z62+AA62+AB62)/W62)</f>
        <v/>
      </c>
    </row>
    <row r="63" customFormat="false" ht="137.3" hidden="false" customHeight="false" outlineLevel="0" collapsed="false">
      <c r="A63" s="22" t="n">
        <v>62</v>
      </c>
      <c r="B63" s="23" t="n">
        <v>46343</v>
      </c>
      <c r="C63" s="22" t="s">
        <v>148</v>
      </c>
      <c r="D63" s="22" t="s">
        <v>96</v>
      </c>
      <c r="E63" s="22" t="s">
        <v>24</v>
      </c>
      <c r="F63" s="13" t="s">
        <v>185</v>
      </c>
      <c r="G63" s="13" t="s">
        <v>98</v>
      </c>
      <c r="H63" s="13" t="s">
        <v>400</v>
      </c>
      <c r="I63" s="13" t="s">
        <v>401</v>
      </c>
      <c r="J63" s="14" t="s">
        <v>740</v>
      </c>
      <c r="K63" s="13" t="s">
        <v>741</v>
      </c>
      <c r="L63" s="13" t="s">
        <v>742</v>
      </c>
      <c r="M63" s="13"/>
      <c r="N63" s="13"/>
      <c r="O63" s="13" t="s">
        <v>743</v>
      </c>
      <c r="P63" s="13" t="s">
        <v>744</v>
      </c>
      <c r="Q63" s="13" t="s">
        <v>745</v>
      </c>
      <c r="R63" s="13" t="s">
        <v>746</v>
      </c>
      <c r="S63" s="13" t="s">
        <v>747</v>
      </c>
      <c r="T63" s="13"/>
      <c r="U63" s="13"/>
      <c r="V63" s="13" t="s">
        <v>70</v>
      </c>
      <c r="W63" s="16"/>
      <c r="X63" s="16"/>
      <c r="Y63" s="16"/>
      <c r="Z63" s="16"/>
      <c r="AA63" s="16"/>
      <c r="AB63" s="16"/>
      <c r="AC63" s="17" t="str">
        <f aca="false">IF(OR(W63="",W63=0),"",(Y63+Z63+AA63+AB63)/W63)</f>
        <v/>
      </c>
    </row>
    <row r="64" customFormat="false" ht="22.35" hidden="false" customHeight="false" outlineLevel="0" collapsed="false">
      <c r="A64" s="11" t="n">
        <v>63</v>
      </c>
      <c r="B64" s="12" t="n">
        <v>46344</v>
      </c>
      <c r="C64" s="11" t="s">
        <v>195</v>
      </c>
      <c r="D64" s="11" t="s">
        <v>55</v>
      </c>
      <c r="E64" s="11" t="s">
        <v>21</v>
      </c>
      <c r="F64" s="13" t="s">
        <v>149</v>
      </c>
      <c r="G64" s="13" t="s">
        <v>122</v>
      </c>
      <c r="H64" s="13" t="s">
        <v>123</v>
      </c>
      <c r="I64" s="13" t="s">
        <v>138</v>
      </c>
      <c r="J64" s="14" t="s">
        <v>748</v>
      </c>
      <c r="K64" s="13" t="s">
        <v>749</v>
      </c>
      <c r="L64" s="13" t="s">
        <v>750</v>
      </c>
      <c r="M64" s="15" t="s">
        <v>751</v>
      </c>
      <c r="N64" s="15" t="s">
        <v>752</v>
      </c>
      <c r="O64" s="13" t="s">
        <v>753</v>
      </c>
      <c r="P64" s="13" t="s">
        <v>754</v>
      </c>
      <c r="Q64" s="15" t="s">
        <v>755</v>
      </c>
      <c r="R64" s="13" t="s">
        <v>342</v>
      </c>
      <c r="S64" s="13" t="s">
        <v>756</v>
      </c>
      <c r="T64" s="13" t="s">
        <v>757</v>
      </c>
      <c r="U64" s="13"/>
      <c r="V64" s="13" t="s">
        <v>70</v>
      </c>
      <c r="W64" s="16"/>
      <c r="X64" s="16"/>
      <c r="Y64" s="16"/>
      <c r="Z64" s="16"/>
      <c r="AA64" s="16"/>
      <c r="AB64" s="16"/>
      <c r="AC64" s="17" t="str">
        <f aca="false">IF(OR(W64="",W64=0),"",(Y64+Z64+AA64+AB64)/W64)</f>
        <v/>
      </c>
    </row>
    <row r="65" customFormat="false" ht="43.25" hidden="false" customHeight="false" outlineLevel="0" collapsed="false">
      <c r="A65" s="18" t="n">
        <v>64</v>
      </c>
      <c r="B65" s="19" t="n">
        <v>46344</v>
      </c>
      <c r="C65" s="18" t="s">
        <v>195</v>
      </c>
      <c r="D65" s="18" t="s">
        <v>71</v>
      </c>
      <c r="E65" s="18" t="s">
        <v>22</v>
      </c>
      <c r="F65" s="13" t="s">
        <v>161</v>
      </c>
      <c r="G65" s="13" t="s">
        <v>122</v>
      </c>
      <c r="H65" s="13" t="s">
        <v>123</v>
      </c>
      <c r="I65" s="13" t="s">
        <v>138</v>
      </c>
      <c r="J65" s="14" t="s">
        <v>758</v>
      </c>
      <c r="K65" s="15" t="s">
        <v>759</v>
      </c>
      <c r="L65" s="13" t="s">
        <v>760</v>
      </c>
      <c r="M65" s="15" t="s">
        <v>761</v>
      </c>
      <c r="N65" s="15" t="s">
        <v>762</v>
      </c>
      <c r="O65" s="13" t="s">
        <v>763</v>
      </c>
      <c r="P65" s="13" t="s">
        <v>764</v>
      </c>
      <c r="Q65" s="15" t="s">
        <v>765</v>
      </c>
      <c r="R65" s="13" t="s">
        <v>342</v>
      </c>
      <c r="S65" s="13" t="s">
        <v>766</v>
      </c>
      <c r="T65" s="13" t="s">
        <v>767</v>
      </c>
      <c r="U65" s="13"/>
      <c r="V65" s="13" t="s">
        <v>70</v>
      </c>
      <c r="W65" s="16"/>
      <c r="X65" s="16"/>
      <c r="Y65" s="16"/>
      <c r="Z65" s="16"/>
      <c r="AA65" s="16"/>
      <c r="AB65" s="16"/>
      <c r="AC65" s="17" t="str">
        <f aca="false">IF(OR(W65="",W65=0),"",(Y65+Z65+AA65+AB65)/W65)</f>
        <v/>
      </c>
    </row>
    <row r="66" customFormat="false" ht="32.8" hidden="false" customHeight="false" outlineLevel="0" collapsed="false">
      <c r="A66" s="20" t="n">
        <v>65</v>
      </c>
      <c r="B66" s="21" t="n">
        <v>46344</v>
      </c>
      <c r="C66" s="20" t="s">
        <v>195</v>
      </c>
      <c r="D66" s="20" t="s">
        <v>136</v>
      </c>
      <c r="E66" s="20" t="s">
        <v>23</v>
      </c>
      <c r="F66" s="13" t="s">
        <v>175</v>
      </c>
      <c r="G66" s="13" t="s">
        <v>73</v>
      </c>
      <c r="H66" s="13"/>
      <c r="I66" s="13" t="s">
        <v>768</v>
      </c>
      <c r="J66" s="14" t="s">
        <v>769</v>
      </c>
      <c r="K66" s="15" t="s">
        <v>770</v>
      </c>
      <c r="L66" s="13"/>
      <c r="M66" s="13"/>
      <c r="N66" s="15" t="s">
        <v>771</v>
      </c>
      <c r="O66" s="13" t="s">
        <v>772</v>
      </c>
      <c r="P66" s="13" t="s">
        <v>773</v>
      </c>
      <c r="Q66" s="13"/>
      <c r="R66" s="13" t="s">
        <v>714</v>
      </c>
      <c r="S66" s="13" t="s">
        <v>774</v>
      </c>
      <c r="T66" s="24" t="s">
        <v>775</v>
      </c>
      <c r="U66" s="13"/>
      <c r="V66" s="13" t="s">
        <v>70</v>
      </c>
      <c r="W66" s="16"/>
      <c r="X66" s="16"/>
      <c r="Y66" s="16"/>
      <c r="Z66" s="16"/>
      <c r="AA66" s="16"/>
      <c r="AB66" s="16"/>
      <c r="AC66" s="17" t="str">
        <f aca="false">IF(OR(W66="",W66=0),"",(Y66+Z66+AA66+AB66)/W66)</f>
        <v/>
      </c>
    </row>
    <row r="67" customFormat="false" ht="53.7" hidden="false" customHeight="false" outlineLevel="0" collapsed="false">
      <c r="A67" s="11" t="n">
        <v>66</v>
      </c>
      <c r="B67" s="12" t="n">
        <v>46345</v>
      </c>
      <c r="C67" s="11" t="s">
        <v>232</v>
      </c>
      <c r="D67" s="11" t="s">
        <v>233</v>
      </c>
      <c r="E67" s="11" t="s">
        <v>21</v>
      </c>
      <c r="F67" s="13" t="s">
        <v>234</v>
      </c>
      <c r="G67" s="13" t="s">
        <v>162</v>
      </c>
      <c r="H67" s="13" t="s">
        <v>235</v>
      </c>
      <c r="I67" s="13" t="s">
        <v>776</v>
      </c>
      <c r="J67" s="14" t="s">
        <v>777</v>
      </c>
      <c r="K67" s="13" t="s">
        <v>778</v>
      </c>
      <c r="L67" s="13" t="s">
        <v>779</v>
      </c>
      <c r="M67" s="15" t="s">
        <v>780</v>
      </c>
      <c r="N67" s="15" t="s">
        <v>781</v>
      </c>
      <c r="O67" s="13" t="s">
        <v>782</v>
      </c>
      <c r="P67" s="13" t="s">
        <v>783</v>
      </c>
      <c r="Q67" s="15" t="s">
        <v>784</v>
      </c>
      <c r="R67" s="13" t="s">
        <v>520</v>
      </c>
      <c r="S67" s="13" t="s">
        <v>785</v>
      </c>
      <c r="T67" s="13"/>
      <c r="U67" s="13"/>
      <c r="V67" s="13" t="s">
        <v>70</v>
      </c>
      <c r="W67" s="16"/>
      <c r="X67" s="16"/>
      <c r="Y67" s="16"/>
      <c r="Z67" s="16"/>
      <c r="AA67" s="16"/>
      <c r="AB67" s="16"/>
      <c r="AC67" s="17" t="str">
        <f aca="false">IF(OR(W67="",W67=0),"",(Y67+Z67+AA67+AB67)/W67)</f>
        <v/>
      </c>
    </row>
    <row r="68" customFormat="false" ht="32.8" hidden="false" customHeight="false" outlineLevel="0" collapsed="false">
      <c r="A68" s="11" t="n">
        <v>67</v>
      </c>
      <c r="B68" s="12" t="n">
        <v>46345</v>
      </c>
      <c r="C68" s="11" t="s">
        <v>232</v>
      </c>
      <c r="D68" s="11" t="s">
        <v>247</v>
      </c>
      <c r="E68" s="11" t="s">
        <v>21</v>
      </c>
      <c r="F68" s="13" t="s">
        <v>196</v>
      </c>
      <c r="G68" s="13" t="s">
        <v>162</v>
      </c>
      <c r="H68" s="13" t="s">
        <v>522</v>
      </c>
      <c r="I68" s="13" t="s">
        <v>786</v>
      </c>
      <c r="J68" s="14" t="s">
        <v>787</v>
      </c>
      <c r="K68" s="13" t="s">
        <v>788</v>
      </c>
      <c r="L68" s="13" t="s">
        <v>789</v>
      </c>
      <c r="M68" s="15" t="s">
        <v>790</v>
      </c>
      <c r="N68" s="15" t="s">
        <v>791</v>
      </c>
      <c r="O68" s="13" t="s">
        <v>792</v>
      </c>
      <c r="P68" s="13" t="s">
        <v>793</v>
      </c>
      <c r="Q68" s="15" t="s">
        <v>794</v>
      </c>
      <c r="R68" s="13" t="s">
        <v>342</v>
      </c>
      <c r="S68" s="13" t="s">
        <v>795</v>
      </c>
      <c r="T68" s="13" t="s">
        <v>796</v>
      </c>
      <c r="U68" s="13"/>
      <c r="V68" s="13" t="s">
        <v>70</v>
      </c>
      <c r="W68" s="16"/>
      <c r="X68" s="16"/>
      <c r="Y68" s="16"/>
      <c r="Z68" s="16"/>
      <c r="AA68" s="16"/>
      <c r="AB68" s="16"/>
      <c r="AC68" s="17" t="str">
        <f aca="false">IF(OR(W68="",W68=0),"",(Y68+Z68+AA68+AB68)/W68)</f>
        <v/>
      </c>
    </row>
    <row r="69" customFormat="false" ht="32.8" hidden="false" customHeight="false" outlineLevel="0" collapsed="false">
      <c r="A69" s="18" t="n">
        <v>68</v>
      </c>
      <c r="B69" s="19" t="n">
        <v>46345</v>
      </c>
      <c r="C69" s="18" t="s">
        <v>232</v>
      </c>
      <c r="D69" s="18" t="s">
        <v>260</v>
      </c>
      <c r="E69" s="18" t="s">
        <v>22</v>
      </c>
      <c r="F69" s="13" t="s">
        <v>310</v>
      </c>
      <c r="G69" s="13" t="s">
        <v>57</v>
      </c>
      <c r="H69" s="13"/>
      <c r="I69" s="13" t="s">
        <v>797</v>
      </c>
      <c r="J69" s="14" t="s">
        <v>798</v>
      </c>
      <c r="K69" s="15" t="s">
        <v>799</v>
      </c>
      <c r="L69" s="13" t="s">
        <v>800</v>
      </c>
      <c r="M69" s="15" t="s">
        <v>801</v>
      </c>
      <c r="N69" s="15" t="s">
        <v>802</v>
      </c>
      <c r="O69" s="13" t="s">
        <v>803</v>
      </c>
      <c r="P69" s="13" t="s">
        <v>638</v>
      </c>
      <c r="Q69" s="15" t="s">
        <v>804</v>
      </c>
      <c r="R69" s="13" t="s">
        <v>805</v>
      </c>
      <c r="S69" s="13" t="s">
        <v>806</v>
      </c>
      <c r="T69" s="13" t="s">
        <v>807</v>
      </c>
      <c r="U69" s="13"/>
      <c r="V69" s="13" t="s">
        <v>70</v>
      </c>
      <c r="W69" s="16"/>
      <c r="X69" s="16"/>
      <c r="Y69" s="16"/>
      <c r="Z69" s="16"/>
      <c r="AA69" s="16"/>
      <c r="AB69" s="16"/>
      <c r="AC69" s="17" t="str">
        <f aca="false">IF(OR(W69="",W69=0),"",(Y69+Z69+AA69+AB69)/W69)</f>
        <v/>
      </c>
    </row>
    <row r="70" customFormat="false" ht="32.8" hidden="false" customHeight="false" outlineLevel="0" collapsed="false">
      <c r="A70" s="18" t="n">
        <v>69</v>
      </c>
      <c r="B70" s="19" t="n">
        <v>46345</v>
      </c>
      <c r="C70" s="18" t="s">
        <v>232</v>
      </c>
      <c r="D70" s="18" t="s">
        <v>273</v>
      </c>
      <c r="E70" s="18" t="s">
        <v>22</v>
      </c>
      <c r="F70" s="13" t="s">
        <v>455</v>
      </c>
      <c r="G70" s="13" t="s">
        <v>122</v>
      </c>
      <c r="H70" s="13"/>
      <c r="I70" s="13" t="s">
        <v>808</v>
      </c>
      <c r="J70" s="14" t="s">
        <v>809</v>
      </c>
      <c r="K70" s="15" t="s">
        <v>810</v>
      </c>
      <c r="L70" s="13" t="s">
        <v>811</v>
      </c>
      <c r="M70" s="15" t="s">
        <v>812</v>
      </c>
      <c r="N70" s="15" t="s">
        <v>813</v>
      </c>
      <c r="O70" s="13" t="s">
        <v>814</v>
      </c>
      <c r="P70" s="13" t="s">
        <v>815</v>
      </c>
      <c r="Q70" s="15" t="s">
        <v>816</v>
      </c>
      <c r="R70" s="13" t="s">
        <v>342</v>
      </c>
      <c r="S70" s="13" t="s">
        <v>817</v>
      </c>
      <c r="T70" s="13"/>
      <c r="U70" s="13"/>
      <c r="V70" s="13" t="s">
        <v>70</v>
      </c>
      <c r="W70" s="16"/>
      <c r="X70" s="16"/>
      <c r="Y70" s="16"/>
      <c r="Z70" s="16"/>
      <c r="AA70" s="16"/>
      <c r="AB70" s="16"/>
      <c r="AC70" s="17" t="str">
        <f aca="false">IF(OR(W70="",W70=0),"",(Y70+Z70+AA70+AB70)/W70)</f>
        <v/>
      </c>
    </row>
    <row r="71" customFormat="false" ht="32.8" hidden="false" customHeight="false" outlineLevel="0" collapsed="false">
      <c r="A71" s="20" t="n">
        <v>70</v>
      </c>
      <c r="B71" s="21" t="n">
        <v>46345</v>
      </c>
      <c r="C71" s="20" t="s">
        <v>232</v>
      </c>
      <c r="D71" s="20" t="s">
        <v>85</v>
      </c>
      <c r="E71" s="20" t="s">
        <v>23</v>
      </c>
      <c r="F71" s="13" t="s">
        <v>175</v>
      </c>
      <c r="G71" s="13" t="s">
        <v>73</v>
      </c>
      <c r="H71" s="13"/>
      <c r="I71" s="13" t="s">
        <v>818</v>
      </c>
      <c r="J71" s="14" t="s">
        <v>819</v>
      </c>
      <c r="K71" s="15" t="s">
        <v>820</v>
      </c>
      <c r="L71" s="13"/>
      <c r="M71" s="13"/>
      <c r="N71" s="15" t="s">
        <v>821</v>
      </c>
      <c r="O71" s="13" t="s">
        <v>822</v>
      </c>
      <c r="P71" s="13" t="s">
        <v>823</v>
      </c>
      <c r="Q71" s="15" t="s">
        <v>639</v>
      </c>
      <c r="R71" s="13" t="s">
        <v>182</v>
      </c>
      <c r="S71" s="13" t="s">
        <v>364</v>
      </c>
      <c r="T71" s="13" t="s">
        <v>824</v>
      </c>
      <c r="U71" s="13"/>
      <c r="V71" s="13" t="s">
        <v>70</v>
      </c>
      <c r="W71" s="16"/>
      <c r="X71" s="16"/>
      <c r="Y71" s="16"/>
      <c r="Z71" s="16"/>
      <c r="AA71" s="16"/>
      <c r="AB71" s="16"/>
      <c r="AC71" s="17" t="str">
        <f aca="false">IF(OR(W71="",W71=0),"",(Y71+Z71+AA71+AB71)/W71)</f>
        <v/>
      </c>
    </row>
    <row r="72" customFormat="false" ht="116.4" hidden="false" customHeight="false" outlineLevel="0" collapsed="false">
      <c r="A72" s="22" t="n">
        <v>71</v>
      </c>
      <c r="B72" s="23" t="n">
        <v>46345</v>
      </c>
      <c r="C72" s="22" t="s">
        <v>232</v>
      </c>
      <c r="D72" s="22" t="s">
        <v>96</v>
      </c>
      <c r="E72" s="22" t="s">
        <v>24</v>
      </c>
      <c r="F72" s="13" t="s">
        <v>97</v>
      </c>
      <c r="G72" s="13" t="s">
        <v>73</v>
      </c>
      <c r="H72" s="13" t="s">
        <v>825</v>
      </c>
      <c r="I72" s="13" t="s">
        <v>826</v>
      </c>
      <c r="J72" s="14" t="s">
        <v>827</v>
      </c>
      <c r="K72" s="13" t="s">
        <v>828</v>
      </c>
      <c r="L72" s="13" t="s">
        <v>829</v>
      </c>
      <c r="M72" s="13"/>
      <c r="N72" s="13"/>
      <c r="O72" s="13" t="s">
        <v>830</v>
      </c>
      <c r="P72" s="13" t="s">
        <v>831</v>
      </c>
      <c r="Q72" s="13" t="s">
        <v>832</v>
      </c>
      <c r="R72" s="13" t="s">
        <v>833</v>
      </c>
      <c r="S72" s="13" t="s">
        <v>834</v>
      </c>
      <c r="T72" s="13" t="s">
        <v>835</v>
      </c>
      <c r="U72" s="13"/>
      <c r="V72" s="13" t="s">
        <v>70</v>
      </c>
      <c r="W72" s="16"/>
      <c r="X72" s="16"/>
      <c r="Y72" s="16"/>
      <c r="Z72" s="16"/>
      <c r="AA72" s="16"/>
      <c r="AB72" s="16"/>
      <c r="AC72" s="17" t="str">
        <f aca="false">IF(OR(W72="",W72=0),"",(Y72+Z72+AA72+AB72)/W72)</f>
        <v/>
      </c>
    </row>
    <row r="73" customFormat="false" ht="32.8" hidden="false" customHeight="false" outlineLevel="0" collapsed="false">
      <c r="A73" s="11" t="n">
        <v>72</v>
      </c>
      <c r="B73" s="12" t="n">
        <v>46346</v>
      </c>
      <c r="C73" s="11" t="s">
        <v>296</v>
      </c>
      <c r="D73" s="11" t="s">
        <v>55</v>
      </c>
      <c r="E73" s="11" t="s">
        <v>21</v>
      </c>
      <c r="F73" s="13" t="s">
        <v>248</v>
      </c>
      <c r="G73" s="13" t="s">
        <v>57</v>
      </c>
      <c r="H73" s="13"/>
      <c r="I73" s="13" t="s">
        <v>836</v>
      </c>
      <c r="J73" s="14" t="s">
        <v>837</v>
      </c>
      <c r="K73" s="13" t="s">
        <v>838</v>
      </c>
      <c r="L73" s="13" t="s">
        <v>837</v>
      </c>
      <c r="M73" s="15" t="s">
        <v>839</v>
      </c>
      <c r="N73" s="15" t="s">
        <v>840</v>
      </c>
      <c r="O73" s="13" t="s">
        <v>841</v>
      </c>
      <c r="P73" s="13" t="s">
        <v>842</v>
      </c>
      <c r="Q73" s="15" t="s">
        <v>843</v>
      </c>
      <c r="R73" s="13" t="s">
        <v>844</v>
      </c>
      <c r="S73" s="13" t="s">
        <v>845</v>
      </c>
      <c r="T73" s="13"/>
      <c r="U73" s="13"/>
      <c r="V73" s="13" t="s">
        <v>70</v>
      </c>
      <c r="W73" s="16"/>
      <c r="X73" s="16"/>
      <c r="Y73" s="16"/>
      <c r="Z73" s="16"/>
      <c r="AA73" s="16"/>
      <c r="AB73" s="16"/>
      <c r="AC73" s="17" t="str">
        <f aca="false">IF(OR(W73="",W73=0),"",(Y73+Z73+AA73+AB73)/W73)</f>
        <v/>
      </c>
    </row>
    <row r="74" customFormat="false" ht="22.35" hidden="false" customHeight="false" outlineLevel="0" collapsed="false">
      <c r="A74" s="18" t="n">
        <v>73</v>
      </c>
      <c r="B74" s="19" t="n">
        <v>46346</v>
      </c>
      <c r="C74" s="18" t="s">
        <v>296</v>
      </c>
      <c r="D74" s="18" t="s">
        <v>71</v>
      </c>
      <c r="E74" s="18" t="s">
        <v>22</v>
      </c>
      <c r="F74" s="13" t="s">
        <v>161</v>
      </c>
      <c r="G74" s="13" t="s">
        <v>162</v>
      </c>
      <c r="H74" s="13"/>
      <c r="I74" s="13" t="s">
        <v>846</v>
      </c>
      <c r="J74" s="14" t="s">
        <v>847</v>
      </c>
      <c r="K74" s="15" t="s">
        <v>848</v>
      </c>
      <c r="L74" s="13" t="s">
        <v>847</v>
      </c>
      <c r="M74" s="15" t="s">
        <v>849</v>
      </c>
      <c r="N74" s="15" t="s">
        <v>850</v>
      </c>
      <c r="O74" s="13" t="s">
        <v>851</v>
      </c>
      <c r="P74" s="13" t="s">
        <v>852</v>
      </c>
      <c r="Q74" s="15" t="s">
        <v>853</v>
      </c>
      <c r="R74" s="13" t="s">
        <v>854</v>
      </c>
      <c r="S74" s="13" t="s">
        <v>855</v>
      </c>
      <c r="T74" s="13" t="s">
        <v>856</v>
      </c>
      <c r="U74" s="13"/>
      <c r="V74" s="13" t="s">
        <v>70</v>
      </c>
      <c r="W74" s="16"/>
      <c r="X74" s="16"/>
      <c r="Y74" s="16"/>
      <c r="Z74" s="16"/>
      <c r="AA74" s="16"/>
      <c r="AB74" s="16"/>
      <c r="AC74" s="17" t="str">
        <f aca="false">IF(OR(W74="",W74=0),"",(Y74+Z74+AA74+AB74)/W74)</f>
        <v/>
      </c>
    </row>
    <row r="75" customFormat="false" ht="22.35" hidden="false" customHeight="false" outlineLevel="0" collapsed="false">
      <c r="A75" s="20" t="n">
        <v>74</v>
      </c>
      <c r="B75" s="21" t="n">
        <v>46346</v>
      </c>
      <c r="C75" s="20" t="s">
        <v>296</v>
      </c>
      <c r="D75" s="20" t="s">
        <v>857</v>
      </c>
      <c r="E75" s="20" t="s">
        <v>23</v>
      </c>
      <c r="F75" s="13" t="s">
        <v>175</v>
      </c>
      <c r="G75" s="13" t="s">
        <v>73</v>
      </c>
      <c r="H75" s="13"/>
      <c r="I75" s="13" t="s">
        <v>808</v>
      </c>
      <c r="J75" s="14" t="s">
        <v>858</v>
      </c>
      <c r="K75" s="15" t="s">
        <v>859</v>
      </c>
      <c r="L75" s="13"/>
      <c r="M75" s="13"/>
      <c r="N75" s="15" t="s">
        <v>860</v>
      </c>
      <c r="O75" s="13" t="s">
        <v>861</v>
      </c>
      <c r="P75" s="13"/>
      <c r="Q75" s="15" t="s">
        <v>639</v>
      </c>
      <c r="R75" s="13" t="s">
        <v>862</v>
      </c>
      <c r="S75" s="13" t="s">
        <v>364</v>
      </c>
      <c r="T75" s="13" t="s">
        <v>863</v>
      </c>
      <c r="U75" s="13"/>
      <c r="V75" s="13" t="s">
        <v>70</v>
      </c>
      <c r="W75" s="16"/>
      <c r="X75" s="16"/>
      <c r="Y75" s="16"/>
      <c r="Z75" s="16"/>
      <c r="AA75" s="16"/>
      <c r="AB75" s="16"/>
      <c r="AC75" s="17" t="str">
        <f aca="false">IF(OR(W75="",W75=0),"",(Y75+Z75+AA75+AB75)/W75)</f>
        <v/>
      </c>
    </row>
    <row r="76" customFormat="false" ht="43.25" hidden="false" customHeight="false" outlineLevel="0" collapsed="false">
      <c r="A76" s="11" t="n">
        <v>75</v>
      </c>
      <c r="B76" s="12" t="n">
        <v>46347</v>
      </c>
      <c r="C76" s="11" t="s">
        <v>331</v>
      </c>
      <c r="D76" s="11" t="s">
        <v>260</v>
      </c>
      <c r="E76" s="11" t="s">
        <v>21</v>
      </c>
      <c r="F76" s="13" t="s">
        <v>410</v>
      </c>
      <c r="G76" s="13" t="s">
        <v>162</v>
      </c>
      <c r="H76" s="13"/>
      <c r="I76" s="13" t="s">
        <v>864</v>
      </c>
      <c r="J76" s="14" t="s">
        <v>865</v>
      </c>
      <c r="K76" s="13" t="s">
        <v>866</v>
      </c>
      <c r="L76" s="13" t="s">
        <v>867</v>
      </c>
      <c r="M76" s="15" t="s">
        <v>868</v>
      </c>
      <c r="N76" s="15" t="s">
        <v>869</v>
      </c>
      <c r="O76" s="13" t="s">
        <v>870</v>
      </c>
      <c r="P76" s="13" t="s">
        <v>871</v>
      </c>
      <c r="Q76" s="15" t="s">
        <v>872</v>
      </c>
      <c r="R76" s="13" t="s">
        <v>873</v>
      </c>
      <c r="S76" s="13" t="s">
        <v>874</v>
      </c>
      <c r="T76" s="13"/>
      <c r="U76" s="13"/>
      <c r="V76" s="13" t="s">
        <v>70</v>
      </c>
      <c r="W76" s="16"/>
      <c r="X76" s="16"/>
      <c r="Y76" s="16"/>
      <c r="Z76" s="16"/>
      <c r="AA76" s="16"/>
      <c r="AB76" s="16"/>
      <c r="AC76" s="17" t="str">
        <f aca="false">IF(OR(W76="",W76=0),"",(Y76+Z76+AA76+AB76)/W76)</f>
        <v/>
      </c>
    </row>
    <row r="77" customFormat="false" ht="22.35" hidden="false" customHeight="false" outlineLevel="0" collapsed="false">
      <c r="A77" s="18" t="n">
        <v>76</v>
      </c>
      <c r="B77" s="19" t="n">
        <v>46347</v>
      </c>
      <c r="C77" s="18" t="s">
        <v>331</v>
      </c>
      <c r="D77" s="18" t="s">
        <v>71</v>
      </c>
      <c r="E77" s="18" t="s">
        <v>22</v>
      </c>
      <c r="F77" s="13" t="s">
        <v>421</v>
      </c>
      <c r="G77" s="13" t="s">
        <v>162</v>
      </c>
      <c r="H77" s="13"/>
      <c r="I77" s="13" t="s">
        <v>875</v>
      </c>
      <c r="J77" s="14" t="s">
        <v>876</v>
      </c>
      <c r="K77" s="13" t="s">
        <v>877</v>
      </c>
      <c r="L77" s="13" t="s">
        <v>878</v>
      </c>
      <c r="M77" s="15" t="s">
        <v>879</v>
      </c>
      <c r="N77" s="15" t="s">
        <v>880</v>
      </c>
      <c r="O77" s="13" t="s">
        <v>881</v>
      </c>
      <c r="P77" s="13" t="s">
        <v>882</v>
      </c>
      <c r="Q77" s="15" t="s">
        <v>883</v>
      </c>
      <c r="R77" s="13" t="s">
        <v>884</v>
      </c>
      <c r="S77" s="13" t="s">
        <v>885</v>
      </c>
      <c r="T77" s="13"/>
      <c r="U77" s="13"/>
      <c r="V77" s="13" t="s">
        <v>70</v>
      </c>
      <c r="W77" s="16"/>
      <c r="X77" s="16"/>
      <c r="Y77" s="16"/>
      <c r="Z77" s="16"/>
      <c r="AA77" s="16"/>
      <c r="AB77" s="16"/>
      <c r="AC77" s="17" t="str">
        <f aca="false">IF(OR(W77="",W77=0),"",(Y77+Z77+AA77+AB77)/W77)</f>
        <v/>
      </c>
    </row>
    <row r="78" customFormat="false" ht="15" hidden="false" customHeight="false" outlineLevel="0" collapsed="false">
      <c r="A78" s="20" t="n">
        <v>77</v>
      </c>
      <c r="B78" s="21" t="n">
        <v>46347</v>
      </c>
      <c r="C78" s="20" t="s">
        <v>331</v>
      </c>
      <c r="D78" s="20" t="s">
        <v>886</v>
      </c>
      <c r="E78" s="20" t="s">
        <v>23</v>
      </c>
      <c r="F78" s="13" t="s">
        <v>222</v>
      </c>
      <c r="G78" s="13" t="s">
        <v>162</v>
      </c>
      <c r="H78" s="13"/>
      <c r="I78" s="13" t="s">
        <v>875</v>
      </c>
      <c r="J78" s="14" t="s">
        <v>887</v>
      </c>
      <c r="K78" s="15" t="s">
        <v>888</v>
      </c>
      <c r="L78" s="13"/>
      <c r="M78" s="13"/>
      <c r="N78" s="15" t="s">
        <v>889</v>
      </c>
      <c r="O78" s="13" t="s">
        <v>890</v>
      </c>
      <c r="P78" s="13" t="s">
        <v>891</v>
      </c>
      <c r="Q78" s="15" t="s">
        <v>892</v>
      </c>
      <c r="R78" s="13" t="s">
        <v>230</v>
      </c>
      <c r="S78" s="13" t="s">
        <v>893</v>
      </c>
      <c r="T78" s="13"/>
      <c r="U78" s="13"/>
      <c r="V78" s="13" t="s">
        <v>70</v>
      </c>
      <c r="W78" s="16"/>
      <c r="X78" s="16"/>
      <c r="Y78" s="16"/>
      <c r="Z78" s="16"/>
      <c r="AA78" s="16"/>
      <c r="AB78" s="16"/>
      <c r="AC78" s="17" t="str">
        <f aca="false">IF(OR(W78="",W78=0),"",(Y78+Z78+AA78+AB78)/W78)</f>
        <v/>
      </c>
    </row>
    <row r="79" customFormat="false" ht="32.8" hidden="false" customHeight="false" outlineLevel="0" collapsed="false">
      <c r="A79" s="11" t="n">
        <v>78</v>
      </c>
      <c r="B79" s="12" t="n">
        <v>46348</v>
      </c>
      <c r="C79" s="11" t="s">
        <v>54</v>
      </c>
      <c r="D79" s="11" t="s">
        <v>55</v>
      </c>
      <c r="E79" s="11" t="s">
        <v>21</v>
      </c>
      <c r="F79" s="13" t="s">
        <v>365</v>
      </c>
      <c r="G79" s="13" t="s">
        <v>73</v>
      </c>
      <c r="H79" s="13" t="s">
        <v>366</v>
      </c>
      <c r="I79" s="13" t="s">
        <v>367</v>
      </c>
      <c r="J79" s="14" t="s">
        <v>894</v>
      </c>
      <c r="K79" s="13" t="s">
        <v>895</v>
      </c>
      <c r="L79" s="13" t="s">
        <v>896</v>
      </c>
      <c r="M79" s="15" t="s">
        <v>897</v>
      </c>
      <c r="N79" s="15" t="s">
        <v>898</v>
      </c>
      <c r="O79" s="13" t="s">
        <v>899</v>
      </c>
      <c r="P79" s="13" t="s">
        <v>900</v>
      </c>
      <c r="Q79" s="15" t="s">
        <v>375</v>
      </c>
      <c r="R79" s="13" t="s">
        <v>901</v>
      </c>
      <c r="S79" s="13" t="s">
        <v>902</v>
      </c>
      <c r="T79" s="24" t="s">
        <v>903</v>
      </c>
      <c r="U79" s="13"/>
      <c r="V79" s="13" t="s">
        <v>70</v>
      </c>
      <c r="W79" s="16"/>
      <c r="X79" s="16"/>
      <c r="Y79" s="16"/>
      <c r="Z79" s="16"/>
      <c r="AA79" s="16"/>
      <c r="AB79" s="16"/>
      <c r="AC79" s="17" t="str">
        <f aca="false">IF(OR(W79="",W79=0),"",(Y79+Z79+AA79+AB79)/W79)</f>
        <v/>
      </c>
    </row>
    <row r="80" customFormat="false" ht="32.8" hidden="false" customHeight="false" outlineLevel="0" collapsed="false">
      <c r="A80" s="18" t="n">
        <v>79</v>
      </c>
      <c r="B80" s="19" t="n">
        <v>46348</v>
      </c>
      <c r="C80" s="18" t="s">
        <v>54</v>
      </c>
      <c r="D80" s="18" t="s">
        <v>71</v>
      </c>
      <c r="E80" s="18" t="s">
        <v>22</v>
      </c>
      <c r="F80" s="13" t="s">
        <v>121</v>
      </c>
      <c r="G80" s="13" t="s">
        <v>162</v>
      </c>
      <c r="H80" s="13"/>
      <c r="I80" s="13" t="s">
        <v>904</v>
      </c>
      <c r="J80" s="14" t="s">
        <v>905</v>
      </c>
      <c r="K80" s="15" t="s">
        <v>906</v>
      </c>
      <c r="L80" s="13" t="s">
        <v>907</v>
      </c>
      <c r="M80" s="15" t="s">
        <v>908</v>
      </c>
      <c r="N80" s="15" t="s">
        <v>909</v>
      </c>
      <c r="O80" s="13" t="s">
        <v>910</v>
      </c>
      <c r="P80" s="13" t="s">
        <v>911</v>
      </c>
      <c r="Q80" s="15" t="s">
        <v>912</v>
      </c>
      <c r="R80" s="13" t="s">
        <v>342</v>
      </c>
      <c r="S80" s="13" t="s">
        <v>913</v>
      </c>
      <c r="T80" s="13" t="s">
        <v>914</v>
      </c>
      <c r="U80" s="13"/>
      <c r="V80" s="13" t="s">
        <v>70</v>
      </c>
      <c r="W80" s="16"/>
      <c r="X80" s="16"/>
      <c r="Y80" s="16"/>
      <c r="Z80" s="16"/>
      <c r="AA80" s="16"/>
      <c r="AB80" s="16"/>
      <c r="AC80" s="17" t="str">
        <f aca="false">IF(OR(W80="",W80=0),"",(Y80+Z80+AA80+AB80)/W80)</f>
        <v/>
      </c>
    </row>
    <row r="81" customFormat="false" ht="64.15" hidden="false" customHeight="false" outlineLevel="0" collapsed="false">
      <c r="A81" s="20" t="n">
        <v>80</v>
      </c>
      <c r="B81" s="21" t="n">
        <v>46348</v>
      </c>
      <c r="C81" s="20" t="s">
        <v>54</v>
      </c>
      <c r="D81" s="20" t="s">
        <v>85</v>
      </c>
      <c r="E81" s="20" t="s">
        <v>23</v>
      </c>
      <c r="F81" s="13" t="s">
        <v>137</v>
      </c>
      <c r="G81" s="13" t="s">
        <v>162</v>
      </c>
      <c r="H81" s="13"/>
      <c r="I81" s="13" t="s">
        <v>915</v>
      </c>
      <c r="J81" s="14" t="s">
        <v>916</v>
      </c>
      <c r="K81" s="15" t="s">
        <v>917</v>
      </c>
      <c r="L81" s="13"/>
      <c r="M81" s="13"/>
      <c r="N81" s="15" t="s">
        <v>918</v>
      </c>
      <c r="O81" s="13" t="s">
        <v>919</v>
      </c>
      <c r="P81" s="13" t="s">
        <v>920</v>
      </c>
      <c r="Q81" s="15" t="s">
        <v>293</v>
      </c>
      <c r="R81" s="13" t="s">
        <v>714</v>
      </c>
      <c r="S81" s="13" t="s">
        <v>397</v>
      </c>
      <c r="T81" s="13"/>
      <c r="U81" s="13"/>
      <c r="V81" s="13" t="s">
        <v>70</v>
      </c>
      <c r="W81" s="16"/>
      <c r="X81" s="16"/>
      <c r="Y81" s="16"/>
      <c r="Z81" s="16"/>
      <c r="AA81" s="16"/>
      <c r="AB81" s="16"/>
      <c r="AC81" s="17" t="str">
        <f aca="false">IF(OR(W81="",W81=0),"",(Y81+Z81+AA81+AB81)/W81)</f>
        <v/>
      </c>
    </row>
    <row r="82" customFormat="false" ht="116.4" hidden="false" customHeight="false" outlineLevel="0" collapsed="false">
      <c r="A82" s="22" t="n">
        <v>81</v>
      </c>
      <c r="B82" s="23" t="n">
        <v>46348</v>
      </c>
      <c r="C82" s="22" t="s">
        <v>54</v>
      </c>
      <c r="D82" s="22" t="s">
        <v>96</v>
      </c>
      <c r="E82" s="22" t="s">
        <v>24</v>
      </c>
      <c r="F82" s="13" t="s">
        <v>921</v>
      </c>
      <c r="G82" s="13" t="s">
        <v>98</v>
      </c>
      <c r="H82" s="13" t="s">
        <v>400</v>
      </c>
      <c r="I82" s="13" t="s">
        <v>922</v>
      </c>
      <c r="J82" s="14" t="s">
        <v>923</v>
      </c>
      <c r="K82" s="13" t="s">
        <v>924</v>
      </c>
      <c r="L82" s="13" t="s">
        <v>925</v>
      </c>
      <c r="M82" s="13"/>
      <c r="N82" s="13"/>
      <c r="O82" s="13" t="s">
        <v>926</v>
      </c>
      <c r="P82" s="13" t="s">
        <v>927</v>
      </c>
      <c r="Q82" s="13" t="s">
        <v>928</v>
      </c>
      <c r="R82" s="13" t="s">
        <v>929</v>
      </c>
      <c r="S82" s="13" t="s">
        <v>930</v>
      </c>
      <c r="T82" s="13"/>
      <c r="U82" s="13"/>
      <c r="V82" s="13" t="s">
        <v>70</v>
      </c>
      <c r="W82" s="16"/>
      <c r="X82" s="16"/>
      <c r="Y82" s="16"/>
      <c r="Z82" s="16"/>
      <c r="AA82" s="16"/>
      <c r="AB82" s="16"/>
      <c r="AC82" s="17" t="str">
        <f aca="false">IF(OR(W82="",W82=0),"",(Y82+Z82+AA82+AB82)/W82)</f>
        <v/>
      </c>
    </row>
    <row r="83" customFormat="false" ht="53.7" hidden="false" customHeight="false" outlineLevel="0" collapsed="false">
      <c r="A83" s="11" t="n">
        <v>82</v>
      </c>
      <c r="B83" s="12" t="n">
        <v>46349</v>
      </c>
      <c r="C83" s="11" t="s">
        <v>108</v>
      </c>
      <c r="D83" s="11" t="s">
        <v>55</v>
      </c>
      <c r="E83" s="11" t="s">
        <v>21</v>
      </c>
      <c r="F83" s="13" t="s">
        <v>410</v>
      </c>
      <c r="G83" s="13" t="s">
        <v>162</v>
      </c>
      <c r="H83" s="13"/>
      <c r="I83" s="13" t="s">
        <v>931</v>
      </c>
      <c r="J83" s="14" t="s">
        <v>932</v>
      </c>
      <c r="K83" s="13" t="s">
        <v>933</v>
      </c>
      <c r="L83" s="13" t="s">
        <v>934</v>
      </c>
      <c r="M83" s="15" t="s">
        <v>935</v>
      </c>
      <c r="N83" s="15" t="s">
        <v>936</v>
      </c>
      <c r="O83" s="13" t="s">
        <v>937</v>
      </c>
      <c r="P83" s="13" t="s">
        <v>938</v>
      </c>
      <c r="Q83" s="15" t="s">
        <v>939</v>
      </c>
      <c r="R83" s="13" t="s">
        <v>940</v>
      </c>
      <c r="S83" s="13" t="s">
        <v>941</v>
      </c>
      <c r="T83" s="13"/>
      <c r="U83" s="13"/>
      <c r="V83" s="13" t="s">
        <v>70</v>
      </c>
      <c r="W83" s="16"/>
      <c r="X83" s="16"/>
      <c r="Y83" s="16"/>
      <c r="Z83" s="16"/>
      <c r="AA83" s="16"/>
      <c r="AB83" s="16"/>
      <c r="AC83" s="17" t="str">
        <f aca="false">IF(OR(W83="",W83=0),"",(Y83+Z83+AA83+AB83)/W83)</f>
        <v/>
      </c>
    </row>
    <row r="84" customFormat="false" ht="22.35" hidden="false" customHeight="false" outlineLevel="0" collapsed="false">
      <c r="A84" s="18" t="n">
        <v>83</v>
      </c>
      <c r="B84" s="19" t="n">
        <v>46349</v>
      </c>
      <c r="C84" s="18" t="s">
        <v>108</v>
      </c>
      <c r="D84" s="18" t="s">
        <v>71</v>
      </c>
      <c r="E84" s="18" t="s">
        <v>22</v>
      </c>
      <c r="F84" s="13" t="s">
        <v>209</v>
      </c>
      <c r="G84" s="13" t="s">
        <v>162</v>
      </c>
      <c r="H84" s="13"/>
      <c r="I84" s="13" t="s">
        <v>942</v>
      </c>
      <c r="J84" s="14" t="s">
        <v>943</v>
      </c>
      <c r="K84" s="15" t="s">
        <v>944</v>
      </c>
      <c r="L84" s="13" t="s">
        <v>945</v>
      </c>
      <c r="M84" s="15" t="s">
        <v>946</v>
      </c>
      <c r="N84" s="15" t="s">
        <v>947</v>
      </c>
      <c r="O84" s="13" t="s">
        <v>948</v>
      </c>
      <c r="P84" s="13" t="s">
        <v>949</v>
      </c>
      <c r="Q84" s="15" t="s">
        <v>950</v>
      </c>
      <c r="R84" s="13" t="s">
        <v>951</v>
      </c>
      <c r="S84" s="13" t="s">
        <v>952</v>
      </c>
      <c r="T84" s="13"/>
      <c r="U84" s="13"/>
      <c r="V84" s="13" t="s">
        <v>70</v>
      </c>
      <c r="W84" s="16"/>
      <c r="X84" s="16"/>
      <c r="Y84" s="16"/>
      <c r="Z84" s="16"/>
      <c r="AA84" s="16"/>
      <c r="AB84" s="16"/>
      <c r="AC84" s="17" t="str">
        <f aca="false">IF(OR(W84="",W84=0),"",(Y84+Z84+AA84+AB84)/W84)</f>
        <v/>
      </c>
    </row>
    <row r="85" customFormat="false" ht="43.25" hidden="false" customHeight="false" outlineLevel="0" collapsed="false">
      <c r="A85" s="20" t="n">
        <v>84</v>
      </c>
      <c r="B85" s="21" t="n">
        <v>46349</v>
      </c>
      <c r="C85" s="20" t="s">
        <v>108</v>
      </c>
      <c r="D85" s="20" t="s">
        <v>136</v>
      </c>
      <c r="E85" s="20" t="s">
        <v>23</v>
      </c>
      <c r="F85" s="13" t="s">
        <v>286</v>
      </c>
      <c r="G85" s="13" t="s">
        <v>122</v>
      </c>
      <c r="H85" s="13"/>
      <c r="I85" s="13" t="s">
        <v>953</v>
      </c>
      <c r="J85" s="14" t="s">
        <v>954</v>
      </c>
      <c r="K85" s="15" t="s">
        <v>955</v>
      </c>
      <c r="L85" s="13"/>
      <c r="M85" s="13"/>
      <c r="N85" s="15" t="s">
        <v>956</v>
      </c>
      <c r="O85" s="13" t="s">
        <v>957</v>
      </c>
      <c r="P85" s="13" t="s">
        <v>958</v>
      </c>
      <c r="Q85" s="15" t="s">
        <v>959</v>
      </c>
      <c r="R85" s="13" t="s">
        <v>328</v>
      </c>
      <c r="S85" s="13" t="s">
        <v>397</v>
      </c>
      <c r="T85" s="13" t="s">
        <v>960</v>
      </c>
      <c r="U85" s="13"/>
      <c r="V85" s="13" t="s">
        <v>70</v>
      </c>
      <c r="W85" s="16"/>
      <c r="X85" s="16"/>
      <c r="Y85" s="16"/>
      <c r="Z85" s="16"/>
      <c r="AA85" s="16"/>
      <c r="AB85" s="16"/>
      <c r="AC85" s="17" t="str">
        <f aca="false">IF(OR(W85="",W85=0),"",(Y85+Z85+AA85+AB85)/W85)</f>
        <v/>
      </c>
    </row>
    <row r="86" customFormat="false" ht="22.35" hidden="false" customHeight="false" outlineLevel="0" collapsed="false">
      <c r="A86" s="11" t="n">
        <v>85</v>
      </c>
      <c r="B86" s="12" t="n">
        <v>46350</v>
      </c>
      <c r="C86" s="11" t="s">
        <v>148</v>
      </c>
      <c r="D86" s="11" t="s">
        <v>55</v>
      </c>
      <c r="E86" s="11" t="s">
        <v>21</v>
      </c>
      <c r="F86" s="13" t="s">
        <v>196</v>
      </c>
      <c r="G86" s="13" t="s">
        <v>98</v>
      </c>
      <c r="H86" s="13" t="s">
        <v>442</v>
      </c>
      <c r="I86" s="13" t="s">
        <v>443</v>
      </c>
      <c r="J86" s="14" t="s">
        <v>961</v>
      </c>
      <c r="K86" s="13" t="s">
        <v>962</v>
      </c>
      <c r="L86" s="13" t="s">
        <v>963</v>
      </c>
      <c r="M86" s="15" t="s">
        <v>964</v>
      </c>
      <c r="N86" s="15" t="s">
        <v>965</v>
      </c>
      <c r="O86" s="13" t="s">
        <v>966</v>
      </c>
      <c r="P86" s="13" t="s">
        <v>967</v>
      </c>
      <c r="Q86" s="15" t="s">
        <v>968</v>
      </c>
      <c r="R86" s="13" t="s">
        <v>969</v>
      </c>
      <c r="S86" s="13" t="s">
        <v>970</v>
      </c>
      <c r="T86" s="13" t="s">
        <v>971</v>
      </c>
      <c r="U86" s="13"/>
      <c r="V86" s="13" t="s">
        <v>70</v>
      </c>
      <c r="W86" s="16"/>
      <c r="X86" s="16"/>
      <c r="Y86" s="16"/>
      <c r="Z86" s="16"/>
      <c r="AA86" s="16"/>
      <c r="AB86" s="16"/>
      <c r="AC86" s="17" t="str">
        <f aca="false">IF(OR(W86="",W86=0),"",(Y86+Z86+AA86+AB86)/W86)</f>
        <v/>
      </c>
    </row>
    <row r="87" customFormat="false" ht="22.35" hidden="false" customHeight="false" outlineLevel="0" collapsed="false">
      <c r="A87" s="18" t="n">
        <v>86</v>
      </c>
      <c r="B87" s="19" t="n">
        <v>46350</v>
      </c>
      <c r="C87" s="18" t="s">
        <v>148</v>
      </c>
      <c r="D87" s="18" t="s">
        <v>71</v>
      </c>
      <c r="E87" s="18" t="s">
        <v>22</v>
      </c>
      <c r="F87" s="13" t="s">
        <v>161</v>
      </c>
      <c r="G87" s="13" t="s">
        <v>73</v>
      </c>
      <c r="H87" s="13"/>
      <c r="I87" s="13" t="s">
        <v>972</v>
      </c>
      <c r="J87" s="14" t="s">
        <v>973</v>
      </c>
      <c r="K87" s="15" t="s">
        <v>974</v>
      </c>
      <c r="L87" s="13" t="s">
        <v>975</v>
      </c>
      <c r="M87" s="15" t="s">
        <v>976</v>
      </c>
      <c r="N87" s="15" t="s">
        <v>977</v>
      </c>
      <c r="O87" s="13" t="s">
        <v>978</v>
      </c>
      <c r="P87" s="13" t="s">
        <v>979</v>
      </c>
      <c r="Q87" s="15" t="s">
        <v>980</v>
      </c>
      <c r="R87" s="13" t="s">
        <v>981</v>
      </c>
      <c r="S87" s="13" t="s">
        <v>982</v>
      </c>
      <c r="T87" s="13"/>
      <c r="U87" s="13"/>
      <c r="V87" s="13" t="s">
        <v>70</v>
      </c>
      <c r="W87" s="16"/>
      <c r="X87" s="16"/>
      <c r="Y87" s="16"/>
      <c r="Z87" s="16"/>
      <c r="AA87" s="16"/>
      <c r="AB87" s="16"/>
      <c r="AC87" s="17" t="str">
        <f aca="false">IF(OR(W87="",W87=0),"",(Y87+Z87+AA87+AB87)/W87)</f>
        <v/>
      </c>
    </row>
    <row r="88" customFormat="false" ht="22.35" hidden="false" customHeight="false" outlineLevel="0" collapsed="false">
      <c r="A88" s="20" t="n">
        <v>87</v>
      </c>
      <c r="B88" s="21" t="n">
        <v>46350</v>
      </c>
      <c r="C88" s="20" t="s">
        <v>148</v>
      </c>
      <c r="D88" s="20" t="s">
        <v>85</v>
      </c>
      <c r="E88" s="20" t="s">
        <v>23</v>
      </c>
      <c r="F88" s="13" t="s">
        <v>175</v>
      </c>
      <c r="G88" s="13" t="s">
        <v>57</v>
      </c>
      <c r="H88" s="13"/>
      <c r="I88" s="13" t="s">
        <v>983</v>
      </c>
      <c r="J88" s="14" t="s">
        <v>984</v>
      </c>
      <c r="K88" s="15" t="s">
        <v>985</v>
      </c>
      <c r="L88" s="13"/>
      <c r="M88" s="13"/>
      <c r="N88" s="15" t="s">
        <v>986</v>
      </c>
      <c r="O88" s="13" t="s">
        <v>987</v>
      </c>
      <c r="P88" s="13" t="s">
        <v>988</v>
      </c>
      <c r="Q88" s="15" t="s">
        <v>989</v>
      </c>
      <c r="R88" s="13" t="s">
        <v>990</v>
      </c>
      <c r="S88" s="13" t="s">
        <v>364</v>
      </c>
      <c r="T88" s="13" t="s">
        <v>991</v>
      </c>
      <c r="U88" s="13"/>
      <c r="V88" s="13" t="s">
        <v>70</v>
      </c>
      <c r="W88" s="16"/>
      <c r="X88" s="16"/>
      <c r="Y88" s="16"/>
      <c r="Z88" s="16"/>
      <c r="AA88" s="16"/>
      <c r="AB88" s="16"/>
      <c r="AC88" s="17" t="str">
        <f aca="false">IF(OR(W88="",W88=0),"",(Y88+Z88+AA88+AB88)/W88)</f>
        <v/>
      </c>
    </row>
    <row r="89" customFormat="false" ht="116.4" hidden="false" customHeight="false" outlineLevel="0" collapsed="false">
      <c r="A89" s="22" t="n">
        <v>88</v>
      </c>
      <c r="B89" s="23" t="n">
        <v>46350</v>
      </c>
      <c r="C89" s="22" t="s">
        <v>148</v>
      </c>
      <c r="D89" s="22" t="s">
        <v>96</v>
      </c>
      <c r="E89" s="22" t="s">
        <v>24</v>
      </c>
      <c r="F89" s="13" t="s">
        <v>97</v>
      </c>
      <c r="G89" s="13" t="s">
        <v>98</v>
      </c>
      <c r="H89" s="13"/>
      <c r="I89" s="13" t="s">
        <v>401</v>
      </c>
      <c r="J89" s="14" t="s">
        <v>992</v>
      </c>
      <c r="K89" s="13" t="s">
        <v>993</v>
      </c>
      <c r="L89" s="13" t="s">
        <v>994</v>
      </c>
      <c r="M89" s="13"/>
      <c r="N89" s="13"/>
      <c r="O89" s="13" t="s">
        <v>995</v>
      </c>
      <c r="P89" s="13" t="s">
        <v>996</v>
      </c>
      <c r="Q89" s="13" t="s">
        <v>997</v>
      </c>
      <c r="R89" s="13" t="s">
        <v>482</v>
      </c>
      <c r="S89" s="13" t="s">
        <v>998</v>
      </c>
      <c r="T89" s="13" t="s">
        <v>999</v>
      </c>
      <c r="U89" s="13"/>
      <c r="V89" s="13" t="s">
        <v>70</v>
      </c>
      <c r="W89" s="16"/>
      <c r="X89" s="16"/>
      <c r="Y89" s="16"/>
      <c r="Z89" s="16"/>
      <c r="AA89" s="16"/>
      <c r="AB89" s="16"/>
      <c r="AC89" s="17" t="str">
        <f aca="false">IF(OR(W89="",W89=0),"",(Y89+Z89+AA89+AB89)/W89)</f>
        <v/>
      </c>
    </row>
    <row r="90" customFormat="false" ht="22.35" hidden="false" customHeight="false" outlineLevel="0" collapsed="false">
      <c r="A90" s="11" t="n">
        <v>89</v>
      </c>
      <c r="B90" s="12" t="n">
        <v>46351</v>
      </c>
      <c r="C90" s="11" t="s">
        <v>195</v>
      </c>
      <c r="D90" s="11" t="s">
        <v>55</v>
      </c>
      <c r="E90" s="11" t="s">
        <v>21</v>
      </c>
      <c r="F90" s="13" t="s">
        <v>149</v>
      </c>
      <c r="G90" s="13" t="s">
        <v>57</v>
      </c>
      <c r="H90" s="13"/>
      <c r="I90" s="13" t="s">
        <v>1000</v>
      </c>
      <c r="J90" s="14" t="s">
        <v>1001</v>
      </c>
      <c r="K90" s="13" t="s">
        <v>1002</v>
      </c>
      <c r="L90" s="13" t="s">
        <v>1003</v>
      </c>
      <c r="M90" s="15" t="s">
        <v>1004</v>
      </c>
      <c r="N90" s="15" t="s">
        <v>1005</v>
      </c>
      <c r="O90" s="13" t="s">
        <v>1006</v>
      </c>
      <c r="P90" s="13" t="s">
        <v>1007</v>
      </c>
      <c r="Q90" s="15" t="s">
        <v>1008</v>
      </c>
      <c r="R90" s="13" t="s">
        <v>474</v>
      </c>
      <c r="S90" s="13" t="s">
        <v>1009</v>
      </c>
      <c r="T90" s="13"/>
      <c r="U90" s="13"/>
      <c r="V90" s="13" t="s">
        <v>70</v>
      </c>
      <c r="W90" s="16"/>
      <c r="X90" s="16"/>
      <c r="Y90" s="16"/>
      <c r="Z90" s="16"/>
      <c r="AA90" s="16"/>
      <c r="AB90" s="16"/>
      <c r="AC90" s="17" t="str">
        <f aca="false">IF(OR(W90="",W90=0),"",(Y90+Z90+AA90+AB90)/W90)</f>
        <v/>
      </c>
    </row>
    <row r="91" customFormat="false" ht="32.8" hidden="false" customHeight="false" outlineLevel="0" collapsed="false">
      <c r="A91" s="18" t="n">
        <v>90</v>
      </c>
      <c r="B91" s="19" t="n">
        <v>46351</v>
      </c>
      <c r="C91" s="18" t="s">
        <v>195</v>
      </c>
      <c r="D91" s="18" t="s">
        <v>71</v>
      </c>
      <c r="E91" s="18" t="s">
        <v>22</v>
      </c>
      <c r="F91" s="13" t="s">
        <v>209</v>
      </c>
      <c r="G91" s="13" t="s">
        <v>122</v>
      </c>
      <c r="H91" s="13"/>
      <c r="I91" s="13" t="s">
        <v>367</v>
      </c>
      <c r="J91" s="14" t="s">
        <v>1010</v>
      </c>
      <c r="K91" s="15" t="s">
        <v>1011</v>
      </c>
      <c r="L91" s="13" t="s">
        <v>1010</v>
      </c>
      <c r="M91" s="15" t="s">
        <v>1012</v>
      </c>
      <c r="N91" s="15" t="s">
        <v>1013</v>
      </c>
      <c r="O91" s="13" t="s">
        <v>1014</v>
      </c>
      <c r="P91" s="13" t="s">
        <v>1015</v>
      </c>
      <c r="Q91" s="15" t="s">
        <v>1016</v>
      </c>
      <c r="R91" s="13" t="s">
        <v>1017</v>
      </c>
      <c r="S91" s="13" t="s">
        <v>1018</v>
      </c>
      <c r="T91" s="13"/>
      <c r="U91" s="13"/>
      <c r="V91" s="13" t="s">
        <v>70</v>
      </c>
      <c r="W91" s="16"/>
      <c r="X91" s="16"/>
      <c r="Y91" s="16"/>
      <c r="Z91" s="16"/>
      <c r="AA91" s="16"/>
      <c r="AB91" s="16"/>
      <c r="AC91" s="17" t="str">
        <f aca="false">IF(OR(W91="",W91=0),"",(Y91+Z91+AA91+AB91)/W91)</f>
        <v/>
      </c>
    </row>
    <row r="92" customFormat="false" ht="53.7" hidden="false" customHeight="false" outlineLevel="0" collapsed="false">
      <c r="A92" s="20" t="n">
        <v>91</v>
      </c>
      <c r="B92" s="21" t="n">
        <v>46351</v>
      </c>
      <c r="C92" s="20" t="s">
        <v>195</v>
      </c>
      <c r="D92" s="20" t="s">
        <v>85</v>
      </c>
      <c r="E92" s="20" t="s">
        <v>23</v>
      </c>
      <c r="F92" s="13" t="s">
        <v>137</v>
      </c>
      <c r="G92" s="13" t="s">
        <v>122</v>
      </c>
      <c r="H92" s="13"/>
      <c r="I92" s="13" t="s">
        <v>367</v>
      </c>
      <c r="J92" s="14" t="s">
        <v>1019</v>
      </c>
      <c r="K92" s="15" t="s">
        <v>1020</v>
      </c>
      <c r="L92" s="13"/>
      <c r="M92" s="13"/>
      <c r="N92" s="15" t="s">
        <v>1021</v>
      </c>
      <c r="O92" s="13" t="s">
        <v>1022</v>
      </c>
      <c r="P92" s="13" t="s">
        <v>1023</v>
      </c>
      <c r="Q92" s="15" t="s">
        <v>1024</v>
      </c>
      <c r="R92" s="13" t="s">
        <v>328</v>
      </c>
      <c r="S92" s="13" t="s">
        <v>397</v>
      </c>
      <c r="T92" s="13"/>
      <c r="U92" s="13"/>
      <c r="V92" s="13" t="s">
        <v>70</v>
      </c>
      <c r="W92" s="16"/>
      <c r="X92" s="16"/>
      <c r="Y92" s="16"/>
      <c r="Z92" s="16"/>
      <c r="AA92" s="16"/>
      <c r="AB92" s="16"/>
      <c r="AC92" s="17" t="str">
        <f aca="false">IF(OR(W92="",W92=0),"",(Y92+Z92+AA92+AB92)/W92)</f>
        <v/>
      </c>
    </row>
    <row r="93" customFormat="false" ht="53.7" hidden="false" customHeight="false" outlineLevel="0" collapsed="false">
      <c r="A93" s="11" t="n">
        <v>92</v>
      </c>
      <c r="B93" s="12" t="n">
        <v>46352</v>
      </c>
      <c r="C93" s="11" t="s">
        <v>232</v>
      </c>
      <c r="D93" s="11" t="s">
        <v>233</v>
      </c>
      <c r="E93" s="11" t="s">
        <v>21</v>
      </c>
      <c r="F93" s="13" t="s">
        <v>234</v>
      </c>
      <c r="G93" s="13" t="s">
        <v>162</v>
      </c>
      <c r="H93" s="13" t="s">
        <v>235</v>
      </c>
      <c r="I93" s="13" t="s">
        <v>1025</v>
      </c>
      <c r="J93" s="14" t="s">
        <v>1026</v>
      </c>
      <c r="K93" s="13" t="s">
        <v>1027</v>
      </c>
      <c r="L93" s="13" t="s">
        <v>1028</v>
      </c>
      <c r="M93" s="15" t="s">
        <v>1029</v>
      </c>
      <c r="N93" s="15" t="s">
        <v>1030</v>
      </c>
      <c r="O93" s="13" t="s">
        <v>1031</v>
      </c>
      <c r="P93" s="13" t="s">
        <v>1032</v>
      </c>
      <c r="Q93" s="15" t="s">
        <v>1033</v>
      </c>
      <c r="R93" s="13" t="s">
        <v>520</v>
      </c>
      <c r="S93" s="13" t="s">
        <v>521</v>
      </c>
      <c r="T93" s="13" t="s">
        <v>1034</v>
      </c>
      <c r="U93" s="13"/>
      <c r="V93" s="13" t="s">
        <v>70</v>
      </c>
      <c r="W93" s="16"/>
      <c r="X93" s="16"/>
      <c r="Y93" s="16"/>
      <c r="Z93" s="16"/>
      <c r="AA93" s="16"/>
      <c r="AB93" s="16"/>
      <c r="AC93" s="17" t="str">
        <f aca="false">IF(OR(W93="",W93=0),"",(Y93+Z93+AA93+AB93)/W93)</f>
        <v/>
      </c>
    </row>
    <row r="94" customFormat="false" ht="32.8" hidden="false" customHeight="false" outlineLevel="0" collapsed="false">
      <c r="A94" s="11" t="n">
        <v>93</v>
      </c>
      <c r="B94" s="12" t="n">
        <v>46352</v>
      </c>
      <c r="C94" s="11" t="s">
        <v>232</v>
      </c>
      <c r="D94" s="11" t="s">
        <v>247</v>
      </c>
      <c r="E94" s="11" t="s">
        <v>21</v>
      </c>
      <c r="F94" s="13" t="s">
        <v>297</v>
      </c>
      <c r="G94" s="13" t="s">
        <v>57</v>
      </c>
      <c r="H94" s="13"/>
      <c r="I94" s="13" t="s">
        <v>1035</v>
      </c>
      <c r="J94" s="14" t="s">
        <v>1036</v>
      </c>
      <c r="K94" s="13" t="s">
        <v>1037</v>
      </c>
      <c r="L94" s="13" t="s">
        <v>1038</v>
      </c>
      <c r="M94" s="15" t="s">
        <v>1039</v>
      </c>
      <c r="N94" s="15" t="s">
        <v>1040</v>
      </c>
      <c r="O94" s="13" t="s">
        <v>1041</v>
      </c>
      <c r="P94" s="13" t="s">
        <v>1042</v>
      </c>
      <c r="Q94" s="15" t="s">
        <v>1043</v>
      </c>
      <c r="R94" s="13" t="s">
        <v>474</v>
      </c>
      <c r="S94" s="13" t="s">
        <v>1044</v>
      </c>
      <c r="T94" s="13"/>
      <c r="U94" s="13"/>
      <c r="V94" s="13" t="s">
        <v>70</v>
      </c>
      <c r="W94" s="16"/>
      <c r="X94" s="16"/>
      <c r="Y94" s="16"/>
      <c r="Z94" s="16"/>
      <c r="AA94" s="16"/>
      <c r="AB94" s="16"/>
      <c r="AC94" s="17" t="str">
        <f aca="false">IF(OR(W94="",W94=0),"",(Y94+Z94+AA94+AB94)/W94)</f>
        <v/>
      </c>
    </row>
    <row r="95" customFormat="false" ht="32.8" hidden="false" customHeight="false" outlineLevel="0" collapsed="false">
      <c r="A95" s="18" t="n">
        <v>94</v>
      </c>
      <c r="B95" s="19" t="n">
        <v>46352</v>
      </c>
      <c r="C95" s="18" t="s">
        <v>232</v>
      </c>
      <c r="D95" s="18" t="s">
        <v>260</v>
      </c>
      <c r="E95" s="18" t="s">
        <v>22</v>
      </c>
      <c r="F95" s="13" t="s">
        <v>421</v>
      </c>
      <c r="G95" s="13" t="s">
        <v>162</v>
      </c>
      <c r="H95" s="13"/>
      <c r="I95" s="13" t="s">
        <v>1045</v>
      </c>
      <c r="J95" s="14" t="s">
        <v>1046</v>
      </c>
      <c r="K95" s="15" t="s">
        <v>1047</v>
      </c>
      <c r="L95" s="13" t="s">
        <v>1048</v>
      </c>
      <c r="M95" s="15" t="s">
        <v>1049</v>
      </c>
      <c r="N95" s="15" t="s">
        <v>1050</v>
      </c>
      <c r="O95" s="13" t="s">
        <v>1051</v>
      </c>
      <c r="P95" s="13" t="s">
        <v>1052</v>
      </c>
      <c r="Q95" s="15" t="s">
        <v>1053</v>
      </c>
      <c r="R95" s="13" t="s">
        <v>1054</v>
      </c>
      <c r="S95" s="13" t="s">
        <v>1055</v>
      </c>
      <c r="T95" s="13" t="s">
        <v>1056</v>
      </c>
      <c r="U95" s="13"/>
      <c r="V95" s="13" t="s">
        <v>70</v>
      </c>
      <c r="W95" s="16"/>
      <c r="X95" s="16"/>
      <c r="Y95" s="16"/>
      <c r="Z95" s="16"/>
      <c r="AA95" s="16"/>
      <c r="AB95" s="16"/>
      <c r="AC95" s="17" t="str">
        <f aca="false">IF(OR(W95="",W95=0),"",(Y95+Z95+AA95+AB95)/W95)</f>
        <v/>
      </c>
    </row>
    <row r="96" customFormat="false" ht="22.35" hidden="false" customHeight="false" outlineLevel="0" collapsed="false">
      <c r="A96" s="18" t="n">
        <v>95</v>
      </c>
      <c r="B96" s="19" t="n">
        <v>46352</v>
      </c>
      <c r="C96" s="18" t="s">
        <v>232</v>
      </c>
      <c r="D96" s="18" t="s">
        <v>273</v>
      </c>
      <c r="E96" s="18" t="s">
        <v>22</v>
      </c>
      <c r="F96" s="13" t="s">
        <v>72</v>
      </c>
      <c r="G96" s="13" t="s">
        <v>57</v>
      </c>
      <c r="H96" s="13"/>
      <c r="I96" s="13" t="s">
        <v>1035</v>
      </c>
      <c r="J96" s="14" t="s">
        <v>1057</v>
      </c>
      <c r="K96" s="15" t="s">
        <v>1058</v>
      </c>
      <c r="L96" s="13" t="s">
        <v>1059</v>
      </c>
      <c r="M96" s="15" t="s">
        <v>1060</v>
      </c>
      <c r="N96" s="15" t="s">
        <v>1061</v>
      </c>
      <c r="O96" s="13" t="s">
        <v>1062</v>
      </c>
      <c r="P96" s="13" t="s">
        <v>1063</v>
      </c>
      <c r="Q96" s="15" t="s">
        <v>1064</v>
      </c>
      <c r="R96" s="13" t="s">
        <v>981</v>
      </c>
      <c r="S96" s="13" t="s">
        <v>1065</v>
      </c>
      <c r="T96" s="13"/>
      <c r="U96" s="13"/>
      <c r="V96" s="13" t="s">
        <v>70</v>
      </c>
      <c r="W96" s="16"/>
      <c r="X96" s="16"/>
      <c r="Y96" s="16"/>
      <c r="Z96" s="16"/>
      <c r="AA96" s="16"/>
      <c r="AB96" s="16"/>
      <c r="AC96" s="17" t="str">
        <f aca="false">IF(OR(W96="",W96=0),"",(Y96+Z96+AA96+AB96)/W96)</f>
        <v/>
      </c>
    </row>
    <row r="97" customFormat="false" ht="53.7" hidden="false" customHeight="false" outlineLevel="0" collapsed="false">
      <c r="A97" s="20" t="n">
        <v>96</v>
      </c>
      <c r="B97" s="21" t="n">
        <v>46352</v>
      </c>
      <c r="C97" s="20" t="s">
        <v>232</v>
      </c>
      <c r="D97" s="20" t="s">
        <v>85</v>
      </c>
      <c r="E97" s="20" t="s">
        <v>23</v>
      </c>
      <c r="F97" s="13" t="s">
        <v>175</v>
      </c>
      <c r="G97" s="13" t="s">
        <v>57</v>
      </c>
      <c r="H97" s="13"/>
      <c r="I97" s="13" t="s">
        <v>1035</v>
      </c>
      <c r="J97" s="14" t="s">
        <v>1066</v>
      </c>
      <c r="K97" s="15" t="s">
        <v>1067</v>
      </c>
      <c r="L97" s="13"/>
      <c r="M97" s="13"/>
      <c r="N97" s="15" t="s">
        <v>1068</v>
      </c>
      <c r="O97" s="13" t="s">
        <v>1069</v>
      </c>
      <c r="P97" s="13" t="s">
        <v>1007</v>
      </c>
      <c r="Q97" s="15" t="s">
        <v>989</v>
      </c>
      <c r="R97" s="13" t="s">
        <v>474</v>
      </c>
      <c r="S97" s="13" t="s">
        <v>364</v>
      </c>
      <c r="T97" s="13" t="s">
        <v>1070</v>
      </c>
      <c r="U97" s="13"/>
      <c r="V97" s="13" t="s">
        <v>70</v>
      </c>
      <c r="W97" s="16"/>
      <c r="X97" s="16"/>
      <c r="Y97" s="16"/>
      <c r="Z97" s="16"/>
      <c r="AA97" s="16"/>
      <c r="AB97" s="16"/>
      <c r="AC97" s="17" t="str">
        <f aca="false">IF(OR(W97="",W97=0),"",(Y97+Z97+AA97+AB97)/W97)</f>
        <v/>
      </c>
    </row>
    <row r="98" customFormat="false" ht="85.05" hidden="false" customHeight="false" outlineLevel="0" collapsed="false">
      <c r="A98" s="22" t="n">
        <v>97</v>
      </c>
      <c r="B98" s="23" t="n">
        <v>46352</v>
      </c>
      <c r="C98" s="22" t="s">
        <v>232</v>
      </c>
      <c r="D98" s="22" t="s">
        <v>96</v>
      </c>
      <c r="E98" s="22" t="s">
        <v>24</v>
      </c>
      <c r="F98" s="13" t="s">
        <v>175</v>
      </c>
      <c r="G98" s="13" t="s">
        <v>98</v>
      </c>
      <c r="H98" s="13"/>
      <c r="I98" s="13" t="s">
        <v>1071</v>
      </c>
      <c r="J98" s="14" t="s">
        <v>1072</v>
      </c>
      <c r="K98" s="13" t="s">
        <v>1073</v>
      </c>
      <c r="L98" s="13" t="s">
        <v>1074</v>
      </c>
      <c r="M98" s="13"/>
      <c r="N98" s="13"/>
      <c r="O98" s="13" t="s">
        <v>1075</v>
      </c>
      <c r="P98" s="13" t="s">
        <v>1076</v>
      </c>
      <c r="Q98" s="13" t="s">
        <v>1077</v>
      </c>
      <c r="R98" s="13" t="s">
        <v>1078</v>
      </c>
      <c r="S98" s="13" t="s">
        <v>1079</v>
      </c>
      <c r="T98" s="24" t="s">
        <v>1080</v>
      </c>
      <c r="U98" s="13"/>
      <c r="V98" s="13" t="s">
        <v>70</v>
      </c>
      <c r="W98" s="16"/>
      <c r="X98" s="16"/>
      <c r="Y98" s="16"/>
      <c r="Z98" s="16"/>
      <c r="AA98" s="16"/>
      <c r="AB98" s="16"/>
      <c r="AC98" s="17" t="str">
        <f aca="false">IF(OR(W98="",W98=0),"",(Y98+Z98+AA98+AB98)/W98)</f>
        <v/>
      </c>
    </row>
    <row r="99" customFormat="false" ht="43.25" hidden="false" customHeight="false" outlineLevel="0" collapsed="false">
      <c r="A99" s="11" t="n">
        <v>98</v>
      </c>
      <c r="B99" s="12" t="n">
        <v>46353</v>
      </c>
      <c r="C99" s="11" t="s">
        <v>296</v>
      </c>
      <c r="D99" s="11" t="s">
        <v>1081</v>
      </c>
      <c r="E99" s="11" t="s">
        <v>21</v>
      </c>
      <c r="F99" s="13" t="s">
        <v>1082</v>
      </c>
      <c r="G99" s="13" t="s">
        <v>57</v>
      </c>
      <c r="H99" s="13"/>
      <c r="I99" s="13" t="s">
        <v>983</v>
      </c>
      <c r="J99" s="14" t="s">
        <v>1083</v>
      </c>
      <c r="K99" s="13" t="s">
        <v>1084</v>
      </c>
      <c r="L99" s="13" t="s">
        <v>1085</v>
      </c>
      <c r="M99" s="15" t="s">
        <v>1086</v>
      </c>
      <c r="N99" s="15" t="s">
        <v>1087</v>
      </c>
      <c r="O99" s="13" t="s">
        <v>1088</v>
      </c>
      <c r="P99" s="13" t="s">
        <v>1089</v>
      </c>
      <c r="Q99" s="15" t="s">
        <v>1090</v>
      </c>
      <c r="R99" s="13" t="s">
        <v>1091</v>
      </c>
      <c r="S99" s="13" t="s">
        <v>1092</v>
      </c>
      <c r="T99" s="24" t="s">
        <v>1093</v>
      </c>
      <c r="U99" s="13"/>
      <c r="V99" s="13" t="s">
        <v>70</v>
      </c>
      <c r="W99" s="16"/>
      <c r="X99" s="16"/>
      <c r="Y99" s="16"/>
      <c r="Z99" s="16"/>
      <c r="AA99" s="16"/>
      <c r="AB99" s="16"/>
      <c r="AC99" s="17" t="str">
        <f aca="false">IF(OR(W99="",W99=0),"",(Y99+Z99+AA99+AB99)/W99)</f>
        <v/>
      </c>
    </row>
    <row r="100" customFormat="false" ht="22.35" hidden="false" customHeight="false" outlineLevel="0" collapsed="false">
      <c r="A100" s="11" t="n">
        <v>99</v>
      </c>
      <c r="B100" s="12" t="n">
        <v>46353</v>
      </c>
      <c r="C100" s="11" t="s">
        <v>296</v>
      </c>
      <c r="D100" s="11" t="s">
        <v>71</v>
      </c>
      <c r="E100" s="11" t="s">
        <v>21</v>
      </c>
      <c r="F100" s="13" t="s">
        <v>1094</v>
      </c>
      <c r="G100" s="13" t="s">
        <v>57</v>
      </c>
      <c r="H100" s="13"/>
      <c r="I100" s="13" t="s">
        <v>1095</v>
      </c>
      <c r="J100" s="14" t="s">
        <v>1096</v>
      </c>
      <c r="K100" s="13" t="s">
        <v>1097</v>
      </c>
      <c r="L100" s="13" t="s">
        <v>1098</v>
      </c>
      <c r="M100" s="15" t="s">
        <v>1099</v>
      </c>
      <c r="N100" s="15" t="s">
        <v>1100</v>
      </c>
      <c r="O100" s="13" t="s">
        <v>1101</v>
      </c>
      <c r="P100" s="13" t="s">
        <v>1063</v>
      </c>
      <c r="Q100" s="15" t="s">
        <v>1043</v>
      </c>
      <c r="R100" s="13" t="s">
        <v>182</v>
      </c>
      <c r="S100" s="13" t="s">
        <v>1102</v>
      </c>
      <c r="T100" s="13"/>
      <c r="U100" s="13"/>
      <c r="V100" s="13" t="s">
        <v>70</v>
      </c>
      <c r="W100" s="16"/>
      <c r="X100" s="16"/>
      <c r="Y100" s="16"/>
      <c r="Z100" s="16"/>
      <c r="AA100" s="16"/>
      <c r="AB100" s="16"/>
      <c r="AC100" s="17" t="str">
        <f aca="false">IF(OR(W100="",W100=0),"",(Y100+Z100+AA100+AB100)/W100)</f>
        <v/>
      </c>
    </row>
    <row r="101" customFormat="false" ht="32.8" hidden="false" customHeight="false" outlineLevel="0" collapsed="false">
      <c r="A101" s="18" t="n">
        <v>100</v>
      </c>
      <c r="B101" s="19" t="n">
        <v>46353</v>
      </c>
      <c r="C101" s="18" t="s">
        <v>296</v>
      </c>
      <c r="D101" s="18" t="s">
        <v>247</v>
      </c>
      <c r="E101" s="18" t="s">
        <v>22</v>
      </c>
      <c r="F101" s="13" t="s">
        <v>1103</v>
      </c>
      <c r="G101" s="13" t="s">
        <v>73</v>
      </c>
      <c r="H101" s="13"/>
      <c r="I101" s="13" t="s">
        <v>1095</v>
      </c>
      <c r="J101" s="14" t="s">
        <v>1104</v>
      </c>
      <c r="K101" s="15" t="s">
        <v>1105</v>
      </c>
      <c r="L101" s="13" t="s">
        <v>1106</v>
      </c>
      <c r="M101" s="15" t="s">
        <v>1107</v>
      </c>
      <c r="N101" s="15" t="s">
        <v>1108</v>
      </c>
      <c r="O101" s="13" t="s">
        <v>1109</v>
      </c>
      <c r="P101" s="13" t="s">
        <v>1110</v>
      </c>
      <c r="Q101" s="15" t="s">
        <v>1111</v>
      </c>
      <c r="R101" s="13" t="s">
        <v>1112</v>
      </c>
      <c r="S101" s="13" t="s">
        <v>1113</v>
      </c>
      <c r="T101" s="13" t="s">
        <v>1114</v>
      </c>
      <c r="U101" s="13"/>
      <c r="V101" s="13" t="s">
        <v>70</v>
      </c>
      <c r="W101" s="16"/>
      <c r="X101" s="16"/>
      <c r="Y101" s="16"/>
      <c r="Z101" s="16"/>
      <c r="AA101" s="16"/>
      <c r="AB101" s="16"/>
      <c r="AC101" s="17" t="str">
        <f aca="false">IF(OR(W101="",W101=0),"",(Y101+Z101+AA101+AB101)/W101)</f>
        <v/>
      </c>
    </row>
    <row r="102" customFormat="false" ht="32.8" hidden="false" customHeight="false" outlineLevel="0" collapsed="false">
      <c r="A102" s="20" t="n">
        <v>101</v>
      </c>
      <c r="B102" s="21" t="n">
        <v>46353</v>
      </c>
      <c r="C102" s="20" t="s">
        <v>296</v>
      </c>
      <c r="D102" s="20" t="s">
        <v>1115</v>
      </c>
      <c r="E102" s="20" t="s">
        <v>23</v>
      </c>
      <c r="F102" s="13" t="s">
        <v>86</v>
      </c>
      <c r="G102" s="13" t="s">
        <v>57</v>
      </c>
      <c r="H102" s="13"/>
      <c r="I102" s="13" t="s">
        <v>1095</v>
      </c>
      <c r="J102" s="14" t="s">
        <v>1116</v>
      </c>
      <c r="K102" s="15" t="s">
        <v>1117</v>
      </c>
      <c r="L102" s="13"/>
      <c r="M102" s="13"/>
      <c r="N102" s="15" t="s">
        <v>1118</v>
      </c>
      <c r="O102" s="13" t="s">
        <v>1119</v>
      </c>
      <c r="P102" s="13" t="s">
        <v>988</v>
      </c>
      <c r="Q102" s="15" t="s">
        <v>989</v>
      </c>
      <c r="R102" s="13" t="s">
        <v>182</v>
      </c>
      <c r="S102" s="13" t="s">
        <v>1120</v>
      </c>
      <c r="T102" s="13" t="s">
        <v>1121</v>
      </c>
      <c r="U102" s="13"/>
      <c r="V102" s="13" t="s">
        <v>70</v>
      </c>
      <c r="W102" s="16"/>
      <c r="X102" s="16"/>
      <c r="Y102" s="16"/>
      <c r="Z102" s="16"/>
      <c r="AA102" s="16"/>
      <c r="AB102" s="16"/>
      <c r="AC102" s="17" t="str">
        <f aca="false">IF(OR(W102="",W102=0),"",(Y102+Z102+AA102+AB102)/W102)</f>
        <v/>
      </c>
    </row>
    <row r="103" customFormat="false" ht="32.8" hidden="false" customHeight="false" outlineLevel="0" collapsed="false">
      <c r="A103" s="11" t="n">
        <v>102</v>
      </c>
      <c r="B103" s="12" t="n">
        <v>46354</v>
      </c>
      <c r="C103" s="11" t="s">
        <v>331</v>
      </c>
      <c r="D103" s="11" t="s">
        <v>55</v>
      </c>
      <c r="E103" s="11" t="s">
        <v>21</v>
      </c>
      <c r="F103" s="13" t="s">
        <v>56</v>
      </c>
      <c r="G103" s="13" t="s">
        <v>57</v>
      </c>
      <c r="H103" s="13"/>
      <c r="I103" s="13" t="s">
        <v>1122</v>
      </c>
      <c r="J103" s="14" t="s">
        <v>1123</v>
      </c>
      <c r="K103" s="13" t="s">
        <v>1124</v>
      </c>
      <c r="L103" s="13" t="s">
        <v>1125</v>
      </c>
      <c r="M103" s="15" t="s">
        <v>1126</v>
      </c>
      <c r="N103" s="15" t="s">
        <v>1127</v>
      </c>
      <c r="O103" s="13" t="s">
        <v>1128</v>
      </c>
      <c r="P103" s="13" t="s">
        <v>1129</v>
      </c>
      <c r="Q103" s="15" t="s">
        <v>1130</v>
      </c>
      <c r="R103" s="13" t="s">
        <v>1131</v>
      </c>
      <c r="S103" s="13" t="s">
        <v>1132</v>
      </c>
      <c r="T103" s="13" t="s">
        <v>1133</v>
      </c>
      <c r="U103" s="13"/>
      <c r="V103" s="13" t="s">
        <v>70</v>
      </c>
      <c r="W103" s="16"/>
      <c r="X103" s="16"/>
      <c r="Y103" s="16"/>
      <c r="Z103" s="16"/>
      <c r="AA103" s="16"/>
      <c r="AB103" s="16"/>
      <c r="AC103" s="17" t="str">
        <f aca="false">IF(OR(W103="",W103=0),"",(Y103+Z103+AA103+AB103)/W103)</f>
        <v/>
      </c>
    </row>
    <row r="104" customFormat="false" ht="22.35" hidden="false" customHeight="false" outlineLevel="0" collapsed="false">
      <c r="A104" s="18" t="n">
        <v>103</v>
      </c>
      <c r="B104" s="19" t="n">
        <v>46354</v>
      </c>
      <c r="C104" s="18" t="s">
        <v>331</v>
      </c>
      <c r="D104" s="18" t="s">
        <v>71</v>
      </c>
      <c r="E104" s="18" t="s">
        <v>22</v>
      </c>
      <c r="F104" s="13" t="s">
        <v>310</v>
      </c>
      <c r="G104" s="13" t="s">
        <v>57</v>
      </c>
      <c r="H104" s="13"/>
      <c r="I104" s="13" t="s">
        <v>1134</v>
      </c>
      <c r="J104" s="14" t="s">
        <v>1135</v>
      </c>
      <c r="K104" s="15" t="s">
        <v>1136</v>
      </c>
      <c r="L104" s="13" t="s">
        <v>1137</v>
      </c>
      <c r="M104" s="15" t="s">
        <v>1138</v>
      </c>
      <c r="N104" s="15" t="s">
        <v>1139</v>
      </c>
      <c r="O104" s="13" t="s">
        <v>1140</v>
      </c>
      <c r="P104" s="13" t="s">
        <v>638</v>
      </c>
      <c r="Q104" s="15" t="s">
        <v>1141</v>
      </c>
      <c r="R104" s="13" t="s">
        <v>1142</v>
      </c>
      <c r="S104" s="13" t="s">
        <v>1143</v>
      </c>
      <c r="T104" s="13"/>
      <c r="U104" s="13"/>
      <c r="V104" s="13" t="s">
        <v>70</v>
      </c>
      <c r="W104" s="16"/>
      <c r="X104" s="16"/>
      <c r="Y104" s="16"/>
      <c r="Z104" s="16"/>
      <c r="AA104" s="16"/>
      <c r="AB104" s="16"/>
      <c r="AC104" s="17" t="str">
        <f aca="false">IF(OR(W104="",W104=0),"",(Y104+Z104+AA104+AB104)/W104)</f>
        <v/>
      </c>
    </row>
    <row r="105" customFormat="false" ht="32.8" hidden="false" customHeight="false" outlineLevel="0" collapsed="false">
      <c r="A105" s="20" t="n">
        <v>104</v>
      </c>
      <c r="B105" s="21" t="n">
        <v>46354</v>
      </c>
      <c r="C105" s="20" t="s">
        <v>331</v>
      </c>
      <c r="D105" s="20" t="s">
        <v>221</v>
      </c>
      <c r="E105" s="20" t="s">
        <v>23</v>
      </c>
      <c r="F105" s="13" t="s">
        <v>175</v>
      </c>
      <c r="G105" s="13" t="s">
        <v>73</v>
      </c>
      <c r="H105" s="13"/>
      <c r="I105" s="13" t="s">
        <v>1144</v>
      </c>
      <c r="J105" s="14" t="s">
        <v>1145</v>
      </c>
      <c r="K105" s="15" t="s">
        <v>1146</v>
      </c>
      <c r="L105" s="13"/>
      <c r="M105" s="13"/>
      <c r="N105" s="15" t="s">
        <v>1147</v>
      </c>
      <c r="O105" s="13" t="s">
        <v>1148</v>
      </c>
      <c r="P105" s="13"/>
      <c r="Q105" s="15" t="s">
        <v>639</v>
      </c>
      <c r="R105" s="13" t="s">
        <v>363</v>
      </c>
      <c r="S105" s="13" t="s">
        <v>364</v>
      </c>
      <c r="T105" s="13" t="s">
        <v>1149</v>
      </c>
      <c r="U105" s="13"/>
      <c r="V105" s="13" t="s">
        <v>70</v>
      </c>
      <c r="W105" s="16"/>
      <c r="X105" s="16"/>
      <c r="Y105" s="16"/>
      <c r="Z105" s="16"/>
      <c r="AA105" s="16"/>
      <c r="AB105" s="16"/>
      <c r="AC105" s="17" t="str">
        <f aca="false">IF(OR(W105="",W105=0),"",(Y105+Z105+AA105+AB105)/W105)</f>
        <v/>
      </c>
    </row>
    <row r="106" customFormat="false" ht="32.8" hidden="false" customHeight="false" outlineLevel="0" collapsed="false">
      <c r="A106" s="11" t="n">
        <v>105</v>
      </c>
      <c r="B106" s="12" t="n">
        <v>46355</v>
      </c>
      <c r="C106" s="11" t="s">
        <v>54</v>
      </c>
      <c r="D106" s="11" t="s">
        <v>55</v>
      </c>
      <c r="E106" s="11" t="s">
        <v>21</v>
      </c>
      <c r="F106" s="13" t="s">
        <v>410</v>
      </c>
      <c r="G106" s="13" t="s">
        <v>122</v>
      </c>
      <c r="H106" s="13" t="s">
        <v>1150</v>
      </c>
      <c r="I106" s="13" t="s">
        <v>1151</v>
      </c>
      <c r="J106" s="14" t="s">
        <v>1152</v>
      </c>
      <c r="K106" s="13" t="s">
        <v>1153</v>
      </c>
      <c r="L106" s="13" t="s">
        <v>1154</v>
      </c>
      <c r="M106" s="15" t="s">
        <v>1155</v>
      </c>
      <c r="N106" s="15" t="s">
        <v>1156</v>
      </c>
      <c r="O106" s="13" t="s">
        <v>1157</v>
      </c>
      <c r="P106" s="13" t="s">
        <v>1158</v>
      </c>
      <c r="Q106" s="15" t="s">
        <v>1159</v>
      </c>
      <c r="R106" s="13" t="s">
        <v>1160</v>
      </c>
      <c r="S106" s="13" t="s">
        <v>1161</v>
      </c>
      <c r="T106" s="13" t="s">
        <v>1162</v>
      </c>
      <c r="U106" s="13"/>
      <c r="V106" s="13" t="s">
        <v>70</v>
      </c>
      <c r="W106" s="16"/>
      <c r="X106" s="16"/>
      <c r="Y106" s="16"/>
      <c r="Z106" s="16"/>
      <c r="AA106" s="16"/>
      <c r="AB106" s="16"/>
      <c r="AC106" s="17" t="str">
        <f aca="false">IF(OR(W106="",W106=0),"",(Y106+Z106+AA106+AB106)/W106)</f>
        <v/>
      </c>
    </row>
    <row r="107" customFormat="false" ht="22.35" hidden="false" customHeight="false" outlineLevel="0" collapsed="false">
      <c r="A107" s="18" t="n">
        <v>106</v>
      </c>
      <c r="B107" s="19" t="n">
        <v>46355</v>
      </c>
      <c r="C107" s="18" t="s">
        <v>54</v>
      </c>
      <c r="D107" s="18" t="s">
        <v>71</v>
      </c>
      <c r="E107" s="18" t="s">
        <v>22</v>
      </c>
      <c r="F107" s="13" t="s">
        <v>161</v>
      </c>
      <c r="G107" s="13" t="s">
        <v>122</v>
      </c>
      <c r="H107" s="13" t="s">
        <v>1150</v>
      </c>
      <c r="I107" s="13" t="s">
        <v>1163</v>
      </c>
      <c r="J107" s="14" t="s">
        <v>1164</v>
      </c>
      <c r="K107" s="15" t="s">
        <v>1165</v>
      </c>
      <c r="L107" s="13" t="s">
        <v>1166</v>
      </c>
      <c r="M107" s="15" t="s">
        <v>1167</v>
      </c>
      <c r="N107" s="15" t="s">
        <v>1168</v>
      </c>
      <c r="O107" s="13" t="s">
        <v>1169</v>
      </c>
      <c r="P107" s="13" t="s">
        <v>1170</v>
      </c>
      <c r="Q107" s="15" t="s">
        <v>1171</v>
      </c>
      <c r="R107" s="13" t="s">
        <v>376</v>
      </c>
      <c r="S107" s="13" t="s">
        <v>1172</v>
      </c>
      <c r="T107" s="13" t="s">
        <v>1173</v>
      </c>
      <c r="U107" s="13"/>
      <c r="V107" s="13" t="s">
        <v>70</v>
      </c>
      <c r="W107" s="16"/>
      <c r="X107" s="16"/>
      <c r="Y107" s="16"/>
      <c r="Z107" s="16"/>
      <c r="AA107" s="16"/>
      <c r="AB107" s="16"/>
      <c r="AC107" s="17" t="str">
        <f aca="false">IF(OR(W107="",W107=0),"",(Y107+Z107+AA107+AB107)/W107)</f>
        <v/>
      </c>
    </row>
    <row r="108" customFormat="false" ht="32.8" hidden="false" customHeight="false" outlineLevel="0" collapsed="false">
      <c r="A108" s="20" t="n">
        <v>107</v>
      </c>
      <c r="B108" s="21" t="n">
        <v>46355</v>
      </c>
      <c r="C108" s="20" t="s">
        <v>54</v>
      </c>
      <c r="D108" s="20" t="s">
        <v>85</v>
      </c>
      <c r="E108" s="20" t="s">
        <v>23</v>
      </c>
      <c r="F108" s="13" t="s">
        <v>175</v>
      </c>
      <c r="G108" s="13" t="s">
        <v>122</v>
      </c>
      <c r="H108" s="13"/>
      <c r="I108" s="13" t="s">
        <v>1174</v>
      </c>
      <c r="J108" s="14" t="s">
        <v>1175</v>
      </c>
      <c r="K108" s="15" t="s">
        <v>1176</v>
      </c>
      <c r="L108" s="13"/>
      <c r="M108" s="13"/>
      <c r="N108" s="15" t="s">
        <v>1177</v>
      </c>
      <c r="O108" s="13" t="s">
        <v>1178</v>
      </c>
      <c r="P108" s="13" t="s">
        <v>1179</v>
      </c>
      <c r="Q108" s="15" t="s">
        <v>1180</v>
      </c>
      <c r="R108" s="13" t="s">
        <v>714</v>
      </c>
      <c r="S108" s="13" t="s">
        <v>364</v>
      </c>
      <c r="T108" s="13" t="s">
        <v>1181</v>
      </c>
      <c r="U108" s="13"/>
      <c r="V108" s="13" t="s">
        <v>70</v>
      </c>
      <c r="W108" s="16"/>
      <c r="X108" s="16"/>
      <c r="Y108" s="16"/>
      <c r="Z108" s="16"/>
      <c r="AA108" s="16"/>
      <c r="AB108" s="16"/>
      <c r="AC108" s="17" t="str">
        <f aca="false">IF(OR(W108="",W108=0),"",(Y108+Z108+AA108+AB108)/W108)</f>
        <v/>
      </c>
    </row>
    <row r="109" customFormat="false" ht="105.95" hidden="false" customHeight="false" outlineLevel="0" collapsed="false">
      <c r="A109" s="22" t="n">
        <v>108</v>
      </c>
      <c r="B109" s="23" t="n">
        <v>46355</v>
      </c>
      <c r="C109" s="22" t="s">
        <v>54</v>
      </c>
      <c r="D109" s="22" t="s">
        <v>96</v>
      </c>
      <c r="E109" s="22" t="s">
        <v>24</v>
      </c>
      <c r="F109" s="13" t="s">
        <v>175</v>
      </c>
      <c r="G109" s="13" t="s">
        <v>73</v>
      </c>
      <c r="H109" s="13"/>
      <c r="I109" s="13" t="s">
        <v>1182</v>
      </c>
      <c r="J109" s="14" t="s">
        <v>1183</v>
      </c>
      <c r="K109" s="13" t="s">
        <v>1184</v>
      </c>
      <c r="L109" s="13" t="s">
        <v>1185</v>
      </c>
      <c r="M109" s="13"/>
      <c r="N109" s="13"/>
      <c r="O109" s="13" t="s">
        <v>1186</v>
      </c>
      <c r="P109" s="13" t="s">
        <v>1187</v>
      </c>
      <c r="Q109" s="13" t="s">
        <v>1188</v>
      </c>
      <c r="R109" s="13" t="s">
        <v>833</v>
      </c>
      <c r="S109" s="13" t="s">
        <v>1189</v>
      </c>
      <c r="T109" s="13" t="s">
        <v>1190</v>
      </c>
      <c r="U109" s="13"/>
      <c r="V109" s="13" t="s">
        <v>70</v>
      </c>
      <c r="W109" s="16"/>
      <c r="X109" s="16"/>
      <c r="Y109" s="16"/>
      <c r="Z109" s="16"/>
      <c r="AA109" s="16"/>
      <c r="AB109" s="16"/>
      <c r="AC109" s="17" t="str">
        <f aca="false">IF(OR(W109="",W109=0),"",(Y109+Z109+AA109+AB109)/W109)</f>
        <v/>
      </c>
    </row>
    <row r="110" customFormat="false" ht="74.6" hidden="false" customHeight="false" outlineLevel="0" collapsed="false">
      <c r="A110" s="11" t="n">
        <v>109</v>
      </c>
      <c r="B110" s="12" t="n">
        <v>46356</v>
      </c>
      <c r="C110" s="11" t="s">
        <v>108</v>
      </c>
      <c r="D110" s="11" t="s">
        <v>55</v>
      </c>
      <c r="E110" s="11" t="s">
        <v>21</v>
      </c>
      <c r="F110" s="13" t="s">
        <v>196</v>
      </c>
      <c r="G110" s="13" t="s">
        <v>162</v>
      </c>
      <c r="H110" s="13"/>
      <c r="I110" s="13" t="s">
        <v>1191</v>
      </c>
      <c r="J110" s="14" t="s">
        <v>1192</v>
      </c>
      <c r="K110" s="13" t="s">
        <v>1193</v>
      </c>
      <c r="L110" s="13" t="s">
        <v>1192</v>
      </c>
      <c r="M110" s="15" t="s">
        <v>1194</v>
      </c>
      <c r="N110" s="15" t="s">
        <v>1195</v>
      </c>
      <c r="O110" s="13" t="s">
        <v>1196</v>
      </c>
      <c r="P110" s="13" t="s">
        <v>1197</v>
      </c>
      <c r="Q110" s="15" t="s">
        <v>1198</v>
      </c>
      <c r="R110" s="13" t="s">
        <v>342</v>
      </c>
      <c r="S110" s="13" t="s">
        <v>1199</v>
      </c>
      <c r="T110" s="13" t="s">
        <v>1200</v>
      </c>
      <c r="U110" s="13"/>
      <c r="V110" s="13" t="s">
        <v>70</v>
      </c>
      <c r="W110" s="16"/>
      <c r="X110" s="16"/>
      <c r="Y110" s="16"/>
      <c r="Z110" s="16"/>
      <c r="AA110" s="16"/>
      <c r="AB110" s="16"/>
      <c r="AC110" s="17" t="str">
        <f aca="false">IF(OR(W110="",W110=0),"",(Y110+Z110+AA110+AB110)/W110)</f>
        <v/>
      </c>
    </row>
    <row r="111" customFormat="false" ht="22.35" hidden="false" customHeight="false" outlineLevel="0" collapsed="false">
      <c r="A111" s="18" t="n">
        <v>110</v>
      </c>
      <c r="B111" s="19" t="n">
        <v>46356</v>
      </c>
      <c r="C111" s="18" t="s">
        <v>108</v>
      </c>
      <c r="D111" s="18" t="s">
        <v>71</v>
      </c>
      <c r="E111" s="18" t="s">
        <v>22</v>
      </c>
      <c r="F111" s="13" t="s">
        <v>622</v>
      </c>
      <c r="G111" s="13" t="s">
        <v>162</v>
      </c>
      <c r="H111" s="13"/>
      <c r="I111" s="13" t="s">
        <v>1191</v>
      </c>
      <c r="J111" s="14" t="s">
        <v>1201</v>
      </c>
      <c r="K111" s="15" t="s">
        <v>1202</v>
      </c>
      <c r="L111" s="13" t="s">
        <v>1203</v>
      </c>
      <c r="M111" s="15" t="s">
        <v>1204</v>
      </c>
      <c r="N111" s="15" t="s">
        <v>1205</v>
      </c>
      <c r="O111" s="13" t="s">
        <v>1206</v>
      </c>
      <c r="P111" s="13" t="s">
        <v>1207</v>
      </c>
      <c r="Q111" s="15" t="s">
        <v>1208</v>
      </c>
      <c r="R111" s="13" t="s">
        <v>1209</v>
      </c>
      <c r="S111" s="13" t="s">
        <v>1210</v>
      </c>
      <c r="T111" s="13"/>
      <c r="U111" s="13"/>
      <c r="V111" s="13" t="s">
        <v>70</v>
      </c>
      <c r="W111" s="16"/>
      <c r="X111" s="16"/>
      <c r="Y111" s="16"/>
      <c r="Z111" s="16"/>
      <c r="AA111" s="16"/>
      <c r="AB111" s="16"/>
      <c r="AC111" s="17" t="str">
        <f aca="false">IF(OR(W111="",W111=0),"",(Y111+Z111+AA111+AB111)/W111)</f>
        <v/>
      </c>
    </row>
    <row r="112" customFormat="false" ht="43.25" hidden="false" customHeight="false" outlineLevel="0" collapsed="false">
      <c r="A112" s="20" t="n">
        <v>111</v>
      </c>
      <c r="B112" s="21" t="n">
        <v>46356</v>
      </c>
      <c r="C112" s="20" t="s">
        <v>108</v>
      </c>
      <c r="D112" s="20" t="s">
        <v>85</v>
      </c>
      <c r="E112" s="20" t="s">
        <v>23</v>
      </c>
      <c r="F112" s="13" t="s">
        <v>175</v>
      </c>
      <c r="G112" s="13" t="s">
        <v>57</v>
      </c>
      <c r="H112" s="13"/>
      <c r="I112" s="13" t="s">
        <v>1211</v>
      </c>
      <c r="J112" s="14" t="s">
        <v>1212</v>
      </c>
      <c r="K112" s="15" t="s">
        <v>1213</v>
      </c>
      <c r="L112" s="13"/>
      <c r="M112" s="13"/>
      <c r="N112" s="15" t="s">
        <v>1214</v>
      </c>
      <c r="O112" s="13" t="s">
        <v>1215</v>
      </c>
      <c r="P112" s="13" t="s">
        <v>1216</v>
      </c>
      <c r="Q112" s="15" t="s">
        <v>1217</v>
      </c>
      <c r="R112" s="13" t="s">
        <v>182</v>
      </c>
      <c r="S112" s="13" t="s">
        <v>364</v>
      </c>
      <c r="T112" s="13" t="s">
        <v>1218</v>
      </c>
      <c r="U112" s="13"/>
      <c r="V112" s="13" t="s">
        <v>70</v>
      </c>
      <c r="W112" s="16"/>
      <c r="X112" s="16"/>
      <c r="Y112" s="16"/>
      <c r="Z112" s="16"/>
      <c r="AA112" s="16"/>
      <c r="AB112" s="16"/>
      <c r="AC112" s="17" t="str">
        <f aca="false">IF(OR(W112="",W112=0),"",(Y112+Z112+AA112+AB112)/W112)</f>
        <v/>
      </c>
    </row>
    <row r="114" customFormat="false" ht="15" hidden="false" customHeight="false" outlineLevel="0" collapsed="false">
      <c r="A114" s="25" t="s">
        <v>1219</v>
      </c>
    </row>
  </sheetData>
  <autoFilter ref="A1:AC112"/>
  <conditionalFormatting sqref="V2:V112">
    <cfRule type="expression" priority="2" aboveAverage="0" equalAverage="0" bottom="0" percent="0" rank="0" text="" dxfId="9">
      <formula>$V2="Posted"</formula>
    </cfRule>
    <cfRule type="expression" priority="3" aboveAverage="0" equalAverage="0" bottom="0" percent="0" rank="0" text="" dxfId="10">
      <formula>$V2="Paused"</formula>
    </cfRule>
  </conditionalFormatting>
  <dataValidations count="1">
    <dataValidation allowBlank="true" errorStyle="stop" operator="between" showDropDown="false" showErrorMessage="false" showInputMessage="false" sqref="V2:V112" type="list">
      <formula1>"Idea,Scripted,Shot,Designed,Approved,Scheduled,Posted,Paused"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1" width="34"/>
  </cols>
  <sheetData>
    <row r="1" customFormat="false" ht="19.7" hidden="false" customHeight="false" outlineLevel="0" collapsed="false">
      <c r="A1" s="2" t="s">
        <v>1220</v>
      </c>
    </row>
    <row r="2" customFormat="false" ht="15" hidden="false" customHeight="false" outlineLevel="0" collapsed="false">
      <c r="A2" s="3" t="s">
        <v>1221</v>
      </c>
    </row>
    <row r="4" customFormat="false" ht="15" hidden="false" customHeight="false" outlineLevel="0" collapsed="false">
      <c r="A4" s="6" t="s">
        <v>1222</v>
      </c>
      <c r="B4" s="6" t="s">
        <v>1223</v>
      </c>
      <c r="C4" s="6" t="s">
        <v>1224</v>
      </c>
      <c r="D4" s="6" t="s">
        <v>1225</v>
      </c>
      <c r="E4" s="6" t="s">
        <v>1226</v>
      </c>
      <c r="F4" s="6" t="s">
        <v>1227</v>
      </c>
      <c r="G4" s="6" t="s">
        <v>1228</v>
      </c>
    </row>
    <row r="5" customFormat="false" ht="189.75" hidden="false" customHeight="true" outlineLevel="0" collapsed="false">
      <c r="A5" s="26" t="s">
        <v>1229</v>
      </c>
      <c r="B5" s="26" t="s">
        <v>1230</v>
      </c>
      <c r="C5" s="26" t="s">
        <v>1231</v>
      </c>
      <c r="D5" s="26" t="s">
        <v>1232</v>
      </c>
      <c r="E5" s="26" t="s">
        <v>1233</v>
      </c>
      <c r="F5" s="27" t="s">
        <v>1234</v>
      </c>
      <c r="G5" s="27" t="s">
        <v>1235</v>
      </c>
    </row>
    <row r="6" customFormat="false" ht="189.75" hidden="false" customHeight="true" outlineLevel="0" collapsed="false">
      <c r="A6" s="26" t="s">
        <v>1236</v>
      </c>
      <c r="B6" s="26" t="s">
        <v>1237</v>
      </c>
      <c r="C6" s="26" t="s">
        <v>1238</v>
      </c>
      <c r="D6" s="26" t="s">
        <v>1239</v>
      </c>
      <c r="E6" s="26" t="s">
        <v>1240</v>
      </c>
      <c r="F6" s="27" t="s">
        <v>1241</v>
      </c>
      <c r="G6" s="27" t="s">
        <v>1242</v>
      </c>
    </row>
    <row r="7" customFormat="false" ht="189.75" hidden="false" customHeight="true" outlineLevel="0" collapsed="false">
      <c r="A7" s="26" t="s">
        <v>1243</v>
      </c>
      <c r="B7" s="26" t="s">
        <v>1244</v>
      </c>
      <c r="C7" s="26" t="s">
        <v>1245</v>
      </c>
      <c r="D7" s="26" t="s">
        <v>1246</v>
      </c>
      <c r="E7" s="26" t="s">
        <v>1247</v>
      </c>
      <c r="F7" s="28" t="s">
        <v>1248</v>
      </c>
      <c r="G7" s="28" t="s">
        <v>1249</v>
      </c>
    </row>
    <row r="8" customFormat="false" ht="189.75" hidden="false" customHeight="true" outlineLevel="0" collapsed="false">
      <c r="A8" s="28" t="s">
        <v>1250</v>
      </c>
      <c r="B8" s="28" t="s">
        <v>1251</v>
      </c>
      <c r="C8" s="28" t="s">
        <v>1252</v>
      </c>
      <c r="D8" s="28" t="s">
        <v>1253</v>
      </c>
      <c r="E8" s="28" t="s">
        <v>1254</v>
      </c>
      <c r="F8" s="28" t="s">
        <v>1255</v>
      </c>
      <c r="G8" s="28" t="s">
        <v>1256</v>
      </c>
    </row>
    <row r="9" customFormat="false" ht="189.75" hidden="false" customHeight="true" outlineLevel="0" collapsed="false">
      <c r="A9" s="26" t="s">
        <v>1257</v>
      </c>
      <c r="B9" s="26" t="s">
        <v>1258</v>
      </c>
    </row>
    <row r="11" customFormat="false" ht="15" hidden="false" customHeight="false" outlineLevel="0" collapsed="false">
      <c r="A11" s="25" t="s">
        <v>1259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5" min="3" style="1" width="28"/>
    <col collapsed="false" customWidth="true" hidden="false" outlineLevel="0" max="7" min="6" style="1" width="60"/>
  </cols>
  <sheetData>
    <row r="1" customFormat="false" ht="19.7" hidden="false" customHeight="false" outlineLevel="0" collapsed="false">
      <c r="A1" s="2" t="s">
        <v>1260</v>
      </c>
    </row>
    <row r="2" customFormat="false" ht="15" hidden="false" customHeight="false" outlineLevel="0" collapsed="false">
      <c r="A2" s="3" t="s">
        <v>1261</v>
      </c>
    </row>
    <row r="4" customFormat="false" ht="15" hidden="false" customHeight="false" outlineLevel="0" collapsed="false">
      <c r="A4" s="6" t="s">
        <v>19</v>
      </c>
      <c r="B4" s="6" t="s">
        <v>1262</v>
      </c>
      <c r="C4" s="6" t="s">
        <v>1263</v>
      </c>
      <c r="D4" s="6" t="s">
        <v>1264</v>
      </c>
      <c r="E4" s="6" t="s">
        <v>1265</v>
      </c>
      <c r="F4" s="6" t="s">
        <v>1266</v>
      </c>
      <c r="G4" s="6" t="s">
        <v>1267</v>
      </c>
    </row>
    <row r="5" customFormat="false" ht="102.2" hidden="false" customHeight="false" outlineLevel="0" collapsed="false">
      <c r="A5" s="29" t="s">
        <v>21</v>
      </c>
      <c r="B5" s="29" t="s">
        <v>1268</v>
      </c>
      <c r="C5" s="29" t="s">
        <v>1269</v>
      </c>
      <c r="D5" s="29" t="s">
        <v>1270</v>
      </c>
      <c r="E5" s="29" t="s">
        <v>1271</v>
      </c>
      <c r="F5" s="29" t="s">
        <v>1272</v>
      </c>
      <c r="G5" s="29" t="s">
        <v>1273</v>
      </c>
    </row>
    <row r="6" customFormat="false" ht="79.85" hidden="false" customHeight="false" outlineLevel="0" collapsed="false">
      <c r="A6" s="29" t="s">
        <v>22</v>
      </c>
      <c r="B6" s="29" t="s">
        <v>1274</v>
      </c>
      <c r="C6" s="29" t="s">
        <v>1275</v>
      </c>
      <c r="D6" s="29" t="s">
        <v>1276</v>
      </c>
      <c r="E6" s="29" t="s">
        <v>1277</v>
      </c>
      <c r="F6" s="29" t="s">
        <v>1278</v>
      </c>
      <c r="G6" s="29" t="s">
        <v>1279</v>
      </c>
    </row>
    <row r="7" customFormat="false" ht="68.65" hidden="false" customHeight="false" outlineLevel="0" collapsed="false">
      <c r="A7" s="29" t="s">
        <v>1280</v>
      </c>
      <c r="B7" s="29" t="s">
        <v>1281</v>
      </c>
      <c r="C7" s="29" t="s">
        <v>1282</v>
      </c>
      <c r="D7" s="29" t="s">
        <v>1283</v>
      </c>
      <c r="E7" s="29" t="s">
        <v>1284</v>
      </c>
      <c r="F7" s="29" t="s">
        <v>1285</v>
      </c>
      <c r="G7" s="29" t="s">
        <v>1286</v>
      </c>
    </row>
    <row r="8" customFormat="false" ht="91" hidden="false" customHeight="false" outlineLevel="0" collapsed="false">
      <c r="A8" s="29" t="s">
        <v>24</v>
      </c>
      <c r="B8" s="29" t="s">
        <v>1287</v>
      </c>
      <c r="C8" s="29" t="s">
        <v>1288</v>
      </c>
      <c r="D8" s="29" t="s">
        <v>1289</v>
      </c>
      <c r="E8" s="29" t="s">
        <v>1290</v>
      </c>
      <c r="F8" s="29" t="s">
        <v>1291</v>
      </c>
      <c r="G8" s="29" t="s">
        <v>1292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18"/>
    <col collapsed="false" customWidth="true" hidden="false" outlineLevel="0" max="4" min="4" style="1" width="80"/>
    <col collapsed="false" customWidth="true" hidden="false" outlineLevel="0" max="5" min="5" style="1" width="40"/>
  </cols>
  <sheetData>
    <row r="1" customFormat="false" ht="19.7" hidden="false" customHeight="false" outlineLevel="0" collapsed="false">
      <c r="A1" s="2" t="s">
        <v>1293</v>
      </c>
    </row>
    <row r="4" customFormat="false" ht="15" hidden="false" customHeight="false" outlineLevel="0" collapsed="false">
      <c r="A4" s="6" t="s">
        <v>1294</v>
      </c>
      <c r="B4" s="6" t="s">
        <v>31</v>
      </c>
      <c r="C4" s="6" t="s">
        <v>1295</v>
      </c>
      <c r="D4" s="6" t="s">
        <v>1296</v>
      </c>
      <c r="E4" s="6" t="s">
        <v>32</v>
      </c>
    </row>
    <row r="5" customFormat="false" ht="23.85" hidden="false" customHeight="false" outlineLevel="0" collapsed="false">
      <c r="A5" s="29" t="s">
        <v>1297</v>
      </c>
      <c r="B5" s="29" t="s">
        <v>73</v>
      </c>
      <c r="C5" s="29" t="s">
        <v>1298</v>
      </c>
      <c r="D5" s="29" t="s">
        <v>1299</v>
      </c>
      <c r="E5" s="29" t="s">
        <v>1300</v>
      </c>
    </row>
    <row r="6" customFormat="false" ht="23.85" hidden="false" customHeight="false" outlineLevel="0" collapsed="false">
      <c r="A6" s="29" t="s">
        <v>1301</v>
      </c>
      <c r="B6" s="29" t="s">
        <v>122</v>
      </c>
      <c r="C6" s="29" t="s">
        <v>1298</v>
      </c>
      <c r="D6" s="29" t="s">
        <v>1302</v>
      </c>
      <c r="E6" s="29" t="s">
        <v>1303</v>
      </c>
    </row>
    <row r="7" customFormat="false" ht="23.85" hidden="false" customHeight="false" outlineLevel="0" collapsed="false">
      <c r="A7" s="29" t="s">
        <v>1304</v>
      </c>
      <c r="B7" s="29" t="s">
        <v>162</v>
      </c>
      <c r="C7" s="29" t="s">
        <v>1305</v>
      </c>
      <c r="D7" s="29" t="s">
        <v>1306</v>
      </c>
      <c r="E7" s="29" t="s">
        <v>1307</v>
      </c>
    </row>
    <row r="8" customFormat="false" ht="23.85" hidden="false" customHeight="false" outlineLevel="0" collapsed="false">
      <c r="A8" s="29" t="s">
        <v>1308</v>
      </c>
      <c r="B8" s="29" t="s">
        <v>98</v>
      </c>
      <c r="C8" s="29" t="s">
        <v>1309</v>
      </c>
      <c r="D8" s="29" t="s">
        <v>1310</v>
      </c>
      <c r="E8" s="29" t="s">
        <v>1311</v>
      </c>
    </row>
    <row r="9" customFormat="false" ht="23.85" hidden="false" customHeight="false" outlineLevel="0" collapsed="false">
      <c r="A9" s="29" t="s">
        <v>1312</v>
      </c>
      <c r="B9" s="29" t="s">
        <v>57</v>
      </c>
      <c r="C9" s="29" t="s">
        <v>1313</v>
      </c>
      <c r="D9" s="29" t="s">
        <v>1314</v>
      </c>
      <c r="E9" s="29" t="s">
        <v>1315</v>
      </c>
    </row>
    <row r="11" customFormat="false" ht="15" hidden="false" customHeight="false" outlineLevel="0" collapsed="false">
      <c r="A11" s="4" t="s">
        <v>1316</v>
      </c>
    </row>
    <row r="12" customFormat="false" ht="15" hidden="false" customHeight="false" outlineLevel="0" collapsed="false">
      <c r="A12" s="6" t="s">
        <v>1294</v>
      </c>
      <c r="B12" s="6" t="s">
        <v>31</v>
      </c>
      <c r="C12" s="6" t="s">
        <v>1317</v>
      </c>
      <c r="D12" s="6" t="s">
        <v>1318</v>
      </c>
    </row>
    <row r="13" customFormat="false" ht="15" hidden="false" customHeight="false" outlineLevel="0" collapsed="false">
      <c r="A13" s="7" t="s">
        <v>1297</v>
      </c>
      <c r="B13" s="7" t="s">
        <v>73</v>
      </c>
      <c r="C13" s="7" t="n">
        <f aca="false">COUNTIF(Calendar!$G:$G,B13)</f>
        <v>18</v>
      </c>
      <c r="D13" s="30" t="n">
        <f aca="false">IF(SUM($C$13:$C$17)=0,0,C13/SUM($C$13:$C$17))</f>
        <v>0.162162162162162</v>
      </c>
    </row>
    <row r="14" customFormat="false" ht="15" hidden="false" customHeight="false" outlineLevel="0" collapsed="false">
      <c r="A14" s="7" t="s">
        <v>1301</v>
      </c>
      <c r="B14" s="7" t="s">
        <v>122</v>
      </c>
      <c r="C14" s="7" t="n">
        <f aca="false">COUNTIF(Calendar!$G:$G,B14)</f>
        <v>18</v>
      </c>
      <c r="D14" s="30" t="n">
        <f aca="false">IF(SUM($C$13:$C$17)=0,0,C14/SUM($C$13:$C$17))</f>
        <v>0.162162162162162</v>
      </c>
    </row>
    <row r="15" customFormat="false" ht="15" hidden="false" customHeight="false" outlineLevel="0" collapsed="false">
      <c r="A15" s="7" t="s">
        <v>1304</v>
      </c>
      <c r="B15" s="7" t="s">
        <v>162</v>
      </c>
      <c r="C15" s="7" t="n">
        <f aca="false">COUNTIF(Calendar!$G:$G,B15)</f>
        <v>40</v>
      </c>
      <c r="D15" s="30" t="n">
        <f aca="false">IF(SUM($C$13:$C$17)=0,0,C15/SUM($C$13:$C$17))</f>
        <v>0.36036036036036</v>
      </c>
    </row>
    <row r="16" customFormat="false" ht="15" hidden="false" customHeight="false" outlineLevel="0" collapsed="false">
      <c r="A16" s="7" t="s">
        <v>1308</v>
      </c>
      <c r="B16" s="7" t="s">
        <v>98</v>
      </c>
      <c r="C16" s="7" t="n">
        <f aca="false">COUNTIF(Calendar!$G:$G,B16)</f>
        <v>12</v>
      </c>
      <c r="D16" s="30" t="n">
        <f aca="false">IF(SUM($C$13:$C$17)=0,0,C16/SUM($C$13:$C$17))</f>
        <v>0.108108108108108</v>
      </c>
    </row>
    <row r="17" customFormat="false" ht="15" hidden="false" customHeight="false" outlineLevel="0" collapsed="false">
      <c r="A17" s="7" t="s">
        <v>1312</v>
      </c>
      <c r="B17" s="7" t="s">
        <v>57</v>
      </c>
      <c r="C17" s="7" t="n">
        <f aca="false">COUNTIF(Calendar!$G:$G,B17)</f>
        <v>23</v>
      </c>
      <c r="D17" s="30" t="n">
        <f aca="false">IF(SUM($C$13:$C$17)=0,0,C17/SUM($C$13:$C$17))</f>
        <v>0.207207207207207</v>
      </c>
    </row>
    <row r="20" customFormat="false" ht="15" hidden="false" customHeight="false" outlineLevel="0" collapsed="false">
      <c r="A20" s="4" t="s">
        <v>1319</v>
      </c>
    </row>
    <row r="21" customFormat="false" ht="15" hidden="false" customHeight="false" outlineLevel="0" collapsed="false">
      <c r="A21" s="6" t="s">
        <v>32</v>
      </c>
      <c r="B21" s="6" t="s">
        <v>1320</v>
      </c>
      <c r="C21" s="6" t="s">
        <v>1321</v>
      </c>
      <c r="D21" s="6" t="s">
        <v>30</v>
      </c>
    </row>
    <row r="22" customFormat="false" ht="23.85" hidden="false" customHeight="false" outlineLevel="0" collapsed="false">
      <c r="A22" s="29" t="s">
        <v>1322</v>
      </c>
      <c r="B22" s="29" t="s">
        <v>1323</v>
      </c>
      <c r="C22" s="29" t="s">
        <v>1324</v>
      </c>
      <c r="D22" s="29" t="s">
        <v>1325</v>
      </c>
    </row>
    <row r="23" customFormat="false" ht="23.85" hidden="false" customHeight="false" outlineLevel="0" collapsed="false">
      <c r="A23" s="29" t="s">
        <v>1326</v>
      </c>
      <c r="B23" s="29" t="s">
        <v>1327</v>
      </c>
      <c r="C23" s="29" t="s">
        <v>1328</v>
      </c>
      <c r="D23" s="29" t="s">
        <v>1329</v>
      </c>
    </row>
    <row r="24" customFormat="false" ht="23.85" hidden="false" customHeight="false" outlineLevel="0" collapsed="false">
      <c r="A24" s="29" t="s">
        <v>1330</v>
      </c>
      <c r="B24" s="29" t="s">
        <v>1331</v>
      </c>
      <c r="C24" s="29" t="s">
        <v>1332</v>
      </c>
      <c r="D24" s="29" t="s">
        <v>1333</v>
      </c>
    </row>
    <row r="25" customFormat="false" ht="23.85" hidden="false" customHeight="false" outlineLevel="0" collapsed="false">
      <c r="A25" s="29" t="s">
        <v>1334</v>
      </c>
      <c r="B25" s="29" t="s">
        <v>1335</v>
      </c>
      <c r="C25" s="29" t="s">
        <v>1324</v>
      </c>
      <c r="D25" s="29" t="s">
        <v>1336</v>
      </c>
    </row>
    <row r="26" customFormat="false" ht="15" hidden="false" customHeight="false" outlineLevel="0" collapsed="false">
      <c r="A26" s="29" t="s">
        <v>1337</v>
      </c>
      <c r="B26" s="29" t="s">
        <v>1338</v>
      </c>
      <c r="C26" s="29" t="s">
        <v>1324</v>
      </c>
      <c r="D26" s="29" t="s">
        <v>1339</v>
      </c>
    </row>
    <row r="27" customFormat="false" ht="15" hidden="false" customHeight="false" outlineLevel="0" collapsed="false">
      <c r="A27" s="29" t="s">
        <v>1340</v>
      </c>
      <c r="B27" s="29" t="s">
        <v>1341</v>
      </c>
      <c r="C27" s="29" t="s">
        <v>1342</v>
      </c>
      <c r="D27" s="29" t="s">
        <v>1343</v>
      </c>
    </row>
    <row r="28" customFormat="false" ht="15" hidden="false" customHeight="false" outlineLevel="0" collapsed="false">
      <c r="A28" s="29" t="s">
        <v>400</v>
      </c>
      <c r="B28" s="29" t="s">
        <v>1344</v>
      </c>
      <c r="C28" s="29" t="s">
        <v>1328</v>
      </c>
      <c r="D28" s="29" t="s">
        <v>1345</v>
      </c>
    </row>
    <row r="29" customFormat="false" ht="15" hidden="false" customHeight="false" outlineLevel="0" collapsed="false">
      <c r="A29" s="29" t="s">
        <v>825</v>
      </c>
      <c r="B29" s="29" t="s">
        <v>1346</v>
      </c>
      <c r="C29" s="29" t="s">
        <v>1347</v>
      </c>
      <c r="D29" s="29" t="s">
        <v>1348</v>
      </c>
    </row>
    <row r="30" customFormat="false" ht="23.85" hidden="false" customHeight="false" outlineLevel="0" collapsed="false">
      <c r="A30" s="29" t="s">
        <v>1349</v>
      </c>
      <c r="B30" s="29" t="s">
        <v>1350</v>
      </c>
      <c r="C30" s="29" t="s">
        <v>1351</v>
      </c>
      <c r="D30" s="29" t="s">
        <v>1352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0"/>
    <col collapsed="false" customWidth="true" hidden="false" outlineLevel="0" max="3" min="3" style="1" width="50"/>
    <col collapsed="false" customWidth="true" hidden="false" outlineLevel="0" max="4" min="4" style="1" width="40"/>
  </cols>
  <sheetData>
    <row r="1" customFormat="false" ht="19.7" hidden="false" customHeight="false" outlineLevel="0" collapsed="false">
      <c r="A1" s="2" t="s">
        <v>1353</v>
      </c>
    </row>
    <row r="4" customFormat="false" ht="15" hidden="false" customHeight="false" outlineLevel="0" collapsed="false">
      <c r="A4" s="6" t="s">
        <v>1354</v>
      </c>
      <c r="B4" s="6" t="s">
        <v>1355</v>
      </c>
    </row>
    <row r="5" customFormat="false" ht="23.85" hidden="false" customHeight="false" outlineLevel="0" collapsed="false">
      <c r="A5" s="29" t="s">
        <v>1356</v>
      </c>
      <c r="B5" s="29" t="s">
        <v>1357</v>
      </c>
    </row>
    <row r="6" customFormat="false" ht="15" hidden="false" customHeight="false" outlineLevel="0" collapsed="false">
      <c r="A6" s="29" t="s">
        <v>1358</v>
      </c>
      <c r="B6" s="29" t="s">
        <v>1359</v>
      </c>
    </row>
    <row r="7" customFormat="false" ht="23.85" hidden="false" customHeight="false" outlineLevel="0" collapsed="false">
      <c r="A7" s="29" t="s">
        <v>1360</v>
      </c>
      <c r="B7" s="29" t="s">
        <v>1361</v>
      </c>
    </row>
    <row r="8" customFormat="false" ht="23.85" hidden="false" customHeight="false" outlineLevel="0" collapsed="false">
      <c r="A8" s="29" t="s">
        <v>1362</v>
      </c>
      <c r="B8" s="29" t="s">
        <v>1363</v>
      </c>
    </row>
    <row r="9" customFormat="false" ht="15" hidden="false" customHeight="false" outlineLevel="0" collapsed="false">
      <c r="A9" s="29" t="s">
        <v>1364</v>
      </c>
      <c r="B9" s="29" t="s">
        <v>1365</v>
      </c>
    </row>
    <row r="10" customFormat="false" ht="15" hidden="false" customHeight="false" outlineLevel="0" collapsed="false">
      <c r="A10" s="29" t="s">
        <v>1366</v>
      </c>
      <c r="B10" s="29" t="s">
        <v>1367</v>
      </c>
    </row>
    <row r="12" customFormat="false" ht="15" hidden="false" customHeight="false" outlineLevel="0" collapsed="false">
      <c r="A12" s="6" t="s">
        <v>1368</v>
      </c>
      <c r="B12" s="6" t="s">
        <v>1355</v>
      </c>
    </row>
    <row r="13" customFormat="false" ht="23.85" hidden="false" customHeight="false" outlineLevel="0" collapsed="false">
      <c r="A13" s="29" t="s">
        <v>1369</v>
      </c>
      <c r="B13" s="29" t="s">
        <v>1370</v>
      </c>
    </row>
    <row r="14" customFormat="false" ht="23.85" hidden="false" customHeight="false" outlineLevel="0" collapsed="false">
      <c r="A14" s="29" t="s">
        <v>1371</v>
      </c>
      <c r="B14" s="29" t="s">
        <v>1372</v>
      </c>
    </row>
    <row r="15" customFormat="false" ht="15" hidden="false" customHeight="false" outlineLevel="0" collapsed="false">
      <c r="A15" s="29" t="s">
        <v>1373</v>
      </c>
      <c r="B15" s="29" t="s">
        <v>1374</v>
      </c>
    </row>
    <row r="16" customFormat="false" ht="23.85" hidden="false" customHeight="false" outlineLevel="0" collapsed="false">
      <c r="A16" s="29" t="s">
        <v>1375</v>
      </c>
      <c r="B16" s="29" t="s">
        <v>1376</v>
      </c>
    </row>
    <row r="17" customFormat="false" ht="23.85" hidden="false" customHeight="false" outlineLevel="0" collapsed="false">
      <c r="A17" s="29" t="s">
        <v>1377</v>
      </c>
      <c r="B17" s="29" t="s">
        <v>1378</v>
      </c>
    </row>
    <row r="18" customFormat="false" ht="23.85" hidden="false" customHeight="false" outlineLevel="0" collapsed="false">
      <c r="A18" s="29" t="s">
        <v>1379</v>
      </c>
      <c r="B18" s="29" t="s">
        <v>1380</v>
      </c>
    </row>
    <row r="19" customFormat="false" ht="23.85" hidden="false" customHeight="false" outlineLevel="0" collapsed="false">
      <c r="A19" s="29" t="s">
        <v>1381</v>
      </c>
      <c r="B19" s="29" t="s">
        <v>1382</v>
      </c>
    </row>
    <row r="20" customFormat="false" ht="23.85" hidden="false" customHeight="false" outlineLevel="0" collapsed="false">
      <c r="A20" s="29" t="s">
        <v>1383</v>
      </c>
      <c r="B20" s="29" t="s">
        <v>1384</v>
      </c>
    </row>
    <row r="22" customFormat="false" ht="15" hidden="false" customHeight="false" outlineLevel="0" collapsed="false">
      <c r="A22" s="6" t="s">
        <v>1385</v>
      </c>
      <c r="B22" s="6" t="s">
        <v>1386</v>
      </c>
    </row>
    <row r="23" customFormat="false" ht="15" hidden="false" customHeight="false" outlineLevel="0" collapsed="false">
      <c r="A23" s="29" t="s">
        <v>1222</v>
      </c>
      <c r="B23" s="29" t="s">
        <v>1387</v>
      </c>
    </row>
    <row r="24" customFormat="false" ht="15" hidden="false" customHeight="false" outlineLevel="0" collapsed="false">
      <c r="A24" s="29" t="s">
        <v>1223</v>
      </c>
      <c r="B24" s="29" t="s">
        <v>1388</v>
      </c>
    </row>
    <row r="25" customFormat="false" ht="15" hidden="false" customHeight="false" outlineLevel="0" collapsed="false">
      <c r="A25" s="29" t="s">
        <v>1224</v>
      </c>
      <c r="B25" s="29" t="s">
        <v>1389</v>
      </c>
    </row>
    <row r="26" customFormat="false" ht="15" hidden="false" customHeight="false" outlineLevel="0" collapsed="false">
      <c r="A26" s="29" t="s">
        <v>1225</v>
      </c>
      <c r="B26" s="29" t="s">
        <v>1390</v>
      </c>
    </row>
    <row r="27" customFormat="false" ht="15" hidden="false" customHeight="false" outlineLevel="0" collapsed="false">
      <c r="A27" s="29" t="s">
        <v>1226</v>
      </c>
      <c r="B27" s="29" t="s">
        <v>1391</v>
      </c>
    </row>
    <row r="28" customFormat="false" ht="15" hidden="false" customHeight="false" outlineLevel="0" collapsed="false">
      <c r="A28" s="29" t="s">
        <v>1227</v>
      </c>
      <c r="B28" s="29" t="s">
        <v>1392</v>
      </c>
    </row>
    <row r="29" customFormat="false" ht="15" hidden="false" customHeight="false" outlineLevel="0" collapsed="false">
      <c r="A29" s="29" t="s">
        <v>1228</v>
      </c>
      <c r="B29" s="29" t="s">
        <v>1393</v>
      </c>
    </row>
    <row r="31" customFormat="false" ht="15" hidden="false" customHeight="false" outlineLevel="0" collapsed="false">
      <c r="A31" s="6" t="s">
        <v>1394</v>
      </c>
      <c r="B31" s="6" t="s">
        <v>1395</v>
      </c>
      <c r="C31" s="6" t="s">
        <v>1396</v>
      </c>
      <c r="D31" s="6" t="s">
        <v>1397</v>
      </c>
    </row>
    <row r="32" customFormat="false" ht="46.25" hidden="false" customHeight="false" outlineLevel="0" collapsed="false">
      <c r="A32" s="29" t="s">
        <v>21</v>
      </c>
      <c r="B32" s="31" t="s">
        <v>1398</v>
      </c>
      <c r="C32" s="31" t="s">
        <v>1399</v>
      </c>
      <c r="D32" s="29" t="s">
        <v>1400</v>
      </c>
    </row>
    <row r="33" customFormat="false" ht="23.85" hidden="false" customHeight="false" outlineLevel="0" collapsed="false">
      <c r="A33" s="29" t="s">
        <v>22</v>
      </c>
      <c r="B33" s="31" t="s">
        <v>1401</v>
      </c>
      <c r="C33" s="31" t="s">
        <v>1402</v>
      </c>
      <c r="D33" s="29" t="s">
        <v>1403</v>
      </c>
    </row>
    <row r="34" customFormat="false" ht="23.85" hidden="false" customHeight="false" outlineLevel="0" collapsed="false">
      <c r="A34" s="29" t="s">
        <v>23</v>
      </c>
      <c r="B34" s="31" t="s">
        <v>1398</v>
      </c>
      <c r="C34" s="31" t="s">
        <v>1404</v>
      </c>
      <c r="D34" s="29" t="s">
        <v>1405</v>
      </c>
    </row>
    <row r="35" customFormat="false" ht="35.05" hidden="false" customHeight="false" outlineLevel="0" collapsed="false">
      <c r="A35" s="29" t="s">
        <v>24</v>
      </c>
      <c r="B35" s="29" t="s">
        <v>1406</v>
      </c>
      <c r="C35" s="29" t="s">
        <v>1407</v>
      </c>
      <c r="D35" s="29" t="s">
        <v>1408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80"/>
    <col collapsed="false" customWidth="true" hidden="false" outlineLevel="0" max="3" min="3" style="1" width="60"/>
  </cols>
  <sheetData>
    <row r="1" customFormat="false" ht="19.7" hidden="false" customHeight="false" outlineLevel="0" collapsed="false">
      <c r="A1" s="2" t="s">
        <v>1409</v>
      </c>
    </row>
    <row r="4" customFormat="false" ht="27.75" hidden="false" customHeight="true" outlineLevel="0" collapsed="false">
      <c r="A4" s="32" t="s">
        <v>1410</v>
      </c>
      <c r="B4" s="32"/>
      <c r="C4" s="32"/>
    </row>
    <row r="5" customFormat="false" ht="27.75" hidden="false" customHeight="true" outlineLevel="0" collapsed="false">
      <c r="A5" s="32" t="s">
        <v>1411</v>
      </c>
      <c r="B5" s="32"/>
      <c r="C5" s="32"/>
    </row>
    <row r="6" customFormat="false" ht="27.75" hidden="false" customHeight="true" outlineLevel="0" collapsed="false">
      <c r="A6" s="32" t="s">
        <v>1412</v>
      </c>
      <c r="B6" s="32"/>
      <c r="C6" s="32"/>
    </row>
    <row r="7" customFormat="false" ht="27.75" hidden="false" customHeight="true" outlineLevel="0" collapsed="false">
      <c r="A7" s="32" t="s">
        <v>1413</v>
      </c>
      <c r="B7" s="32"/>
      <c r="C7" s="32"/>
    </row>
    <row r="9" customFormat="false" ht="15" hidden="false" customHeight="false" outlineLevel="0" collapsed="false">
      <c r="A9" s="6" t="s">
        <v>1414</v>
      </c>
      <c r="B9" s="6" t="s">
        <v>1415</v>
      </c>
      <c r="C9" s="6" t="s">
        <v>1416</v>
      </c>
    </row>
    <row r="10" customFormat="false" ht="23.85" hidden="false" customHeight="false" outlineLevel="0" collapsed="false">
      <c r="A10" s="29" t="s">
        <v>1417</v>
      </c>
      <c r="B10" s="31" t="s">
        <v>1418</v>
      </c>
      <c r="C10" s="29" t="s">
        <v>1419</v>
      </c>
    </row>
    <row r="11" customFormat="false" ht="23.85" hidden="false" customHeight="false" outlineLevel="0" collapsed="false">
      <c r="A11" s="29" t="s">
        <v>1420</v>
      </c>
      <c r="B11" s="31" t="s">
        <v>1421</v>
      </c>
      <c r="C11" s="29" t="s">
        <v>1422</v>
      </c>
    </row>
    <row r="12" customFormat="false" ht="23.85" hidden="false" customHeight="false" outlineLevel="0" collapsed="false">
      <c r="A12" s="29" t="s">
        <v>1423</v>
      </c>
      <c r="B12" s="31" t="s">
        <v>1424</v>
      </c>
      <c r="C12" s="29" t="s">
        <v>1425</v>
      </c>
    </row>
    <row r="13" customFormat="false" ht="15" hidden="false" customHeight="false" outlineLevel="0" collapsed="false">
      <c r="A13" s="29" t="s">
        <v>1426</v>
      </c>
      <c r="B13" s="31" t="s">
        <v>1427</v>
      </c>
      <c r="C13" s="29" t="s">
        <v>1428</v>
      </c>
    </row>
    <row r="14" customFormat="false" ht="23.85" hidden="false" customHeight="false" outlineLevel="0" collapsed="false">
      <c r="A14" s="29" t="s">
        <v>1429</v>
      </c>
      <c r="B14" s="31" t="s">
        <v>1430</v>
      </c>
      <c r="C14" s="29" t="s">
        <v>1431</v>
      </c>
    </row>
    <row r="15" customFormat="false" ht="15" hidden="false" customHeight="false" outlineLevel="0" collapsed="false">
      <c r="A15" s="29" t="s">
        <v>1432</v>
      </c>
      <c r="B15" s="31" t="s">
        <v>1433</v>
      </c>
      <c r="C15" s="29" t="s">
        <v>1434</v>
      </c>
    </row>
    <row r="16" customFormat="false" ht="23.85" hidden="false" customHeight="false" outlineLevel="0" collapsed="false">
      <c r="A16" s="29" t="s">
        <v>1435</v>
      </c>
      <c r="B16" s="31" t="s">
        <v>1436</v>
      </c>
      <c r="C16" s="29" t="s">
        <v>1437</v>
      </c>
    </row>
  </sheetData>
  <mergeCells count="4">
    <mergeCell ref="A4:C4"/>
    <mergeCell ref="A5:C5"/>
    <mergeCell ref="A6:C6"/>
    <mergeCell ref="A7:C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 collapsed="false" customWidth="true" hidden="false" outlineLevel="0" max="3" min="3" style="1" width="26"/>
    <col collapsed="false" customWidth="true" hidden="false" outlineLevel="0" max="4" min="4" style="1" width="40"/>
    <col collapsed="false" customWidth="true" hidden="false" outlineLevel="0" max="6" min="5" style="1" width="44"/>
  </cols>
  <sheetData>
    <row r="1" customFormat="false" ht="19.7" hidden="false" customHeight="false" outlineLevel="0" collapsed="false">
      <c r="A1" s="2" t="s">
        <v>1438</v>
      </c>
    </row>
    <row r="2" customFormat="false" ht="15" hidden="false" customHeight="false" outlineLevel="0" collapsed="false">
      <c r="A2" s="3" t="s">
        <v>1439</v>
      </c>
    </row>
    <row r="4" customFormat="false" ht="15" hidden="false" customHeight="false" outlineLevel="0" collapsed="false">
      <c r="A4" s="6" t="s">
        <v>1440</v>
      </c>
      <c r="B4" s="6" t="s">
        <v>1441</v>
      </c>
      <c r="C4" s="6" t="s">
        <v>1442</v>
      </c>
      <c r="D4" s="6" t="s">
        <v>1443</v>
      </c>
      <c r="E4" s="6" t="s">
        <v>1444</v>
      </c>
      <c r="F4" s="6" t="s">
        <v>1445</v>
      </c>
    </row>
    <row r="5" customFormat="false" ht="35.05" hidden="false" customHeight="false" outlineLevel="0" collapsed="false">
      <c r="A5" s="29" t="s">
        <v>1446</v>
      </c>
      <c r="B5" s="29" t="s">
        <v>1447</v>
      </c>
      <c r="C5" s="29" t="s">
        <v>1448</v>
      </c>
      <c r="D5" s="29" t="s">
        <v>1449</v>
      </c>
      <c r="E5" s="29" t="s">
        <v>1450</v>
      </c>
      <c r="F5" s="29" t="s">
        <v>1451</v>
      </c>
    </row>
    <row r="6" customFormat="false" ht="23.85" hidden="false" customHeight="false" outlineLevel="0" collapsed="false">
      <c r="A6" s="29" t="s">
        <v>1452</v>
      </c>
      <c r="B6" s="29" t="s">
        <v>1453</v>
      </c>
      <c r="C6" s="29" t="s">
        <v>1454</v>
      </c>
      <c r="D6" s="29" t="s">
        <v>1455</v>
      </c>
      <c r="E6" s="29" t="s">
        <v>1456</v>
      </c>
      <c r="F6" s="29" t="s">
        <v>1457</v>
      </c>
    </row>
    <row r="7" customFormat="false" ht="35.05" hidden="false" customHeight="false" outlineLevel="0" collapsed="false">
      <c r="A7" s="29" t="s">
        <v>1458</v>
      </c>
      <c r="B7" s="29" t="s">
        <v>1459</v>
      </c>
      <c r="C7" s="29" t="s">
        <v>1460</v>
      </c>
      <c r="D7" s="29" t="s">
        <v>1461</v>
      </c>
      <c r="E7" s="29" t="s">
        <v>1462</v>
      </c>
      <c r="F7" s="29" t="s">
        <v>1463</v>
      </c>
    </row>
    <row r="8" customFormat="false" ht="23.85" hidden="false" customHeight="false" outlineLevel="0" collapsed="false">
      <c r="A8" s="29" t="s">
        <v>1464</v>
      </c>
      <c r="B8" s="29" t="s">
        <v>1465</v>
      </c>
      <c r="C8" s="29" t="s">
        <v>1466</v>
      </c>
      <c r="D8" s="29" t="s">
        <v>1467</v>
      </c>
      <c r="E8" s="29" t="s">
        <v>1468</v>
      </c>
      <c r="F8" s="29" t="s">
        <v>1469</v>
      </c>
    </row>
    <row r="9" customFormat="false" ht="23.85" hidden="false" customHeight="false" outlineLevel="0" collapsed="false">
      <c r="A9" s="29" t="s">
        <v>1470</v>
      </c>
      <c r="B9" s="29" t="s">
        <v>1471</v>
      </c>
      <c r="C9" s="29" t="s">
        <v>1472</v>
      </c>
      <c r="D9" s="29" t="s">
        <v>1473</v>
      </c>
      <c r="E9" s="29" t="s">
        <v>1474</v>
      </c>
      <c r="F9" s="29" t="s">
        <v>1475</v>
      </c>
    </row>
    <row r="10" customFormat="false" ht="23.85" hidden="false" customHeight="false" outlineLevel="0" collapsed="false">
      <c r="A10" s="29" t="s">
        <v>1476</v>
      </c>
      <c r="B10" s="29" t="s">
        <v>1477</v>
      </c>
      <c r="C10" s="29" t="s">
        <v>1478</v>
      </c>
      <c r="D10" s="29" t="s">
        <v>1479</v>
      </c>
      <c r="E10" s="29" t="s">
        <v>1480</v>
      </c>
      <c r="F10" s="29" t="s">
        <v>1481</v>
      </c>
    </row>
    <row r="11" customFormat="false" ht="23.85" hidden="false" customHeight="false" outlineLevel="0" collapsed="false">
      <c r="A11" s="29" t="s">
        <v>1482</v>
      </c>
      <c r="B11" s="29" t="s">
        <v>1483</v>
      </c>
      <c r="C11" s="29" t="s">
        <v>1484</v>
      </c>
      <c r="D11" s="29" t="s">
        <v>1485</v>
      </c>
      <c r="E11" s="29" t="s">
        <v>1486</v>
      </c>
      <c r="F11" s="29" t="s">
        <v>1487</v>
      </c>
    </row>
    <row r="12" customFormat="false" ht="23.85" hidden="false" customHeight="false" outlineLevel="0" collapsed="false">
      <c r="A12" s="29" t="s">
        <v>1488</v>
      </c>
      <c r="B12" s="29" t="s">
        <v>1489</v>
      </c>
      <c r="C12" s="29" t="s">
        <v>1490</v>
      </c>
      <c r="D12" s="29" t="s">
        <v>1491</v>
      </c>
      <c r="E12" s="29" t="s">
        <v>1492</v>
      </c>
      <c r="F12" s="29" t="s">
        <v>1493</v>
      </c>
    </row>
    <row r="13" customFormat="false" ht="35.05" hidden="false" customHeight="false" outlineLevel="0" collapsed="false">
      <c r="A13" s="29" t="s">
        <v>1494</v>
      </c>
      <c r="B13" s="29" t="s">
        <v>1495</v>
      </c>
      <c r="C13" s="29" t="s">
        <v>1496</v>
      </c>
      <c r="D13" s="29" t="s">
        <v>1497</v>
      </c>
      <c r="E13" s="29" t="s">
        <v>1498</v>
      </c>
      <c r="F13" s="29" t="s">
        <v>1499</v>
      </c>
    </row>
    <row r="15" customFormat="false" ht="15" hidden="false" customHeight="false" outlineLevel="0" collapsed="false">
      <c r="A15" s="6" t="s">
        <v>1500</v>
      </c>
      <c r="B15" s="6" t="s">
        <v>1501</v>
      </c>
    </row>
    <row r="16" customFormat="false" ht="15" hidden="false" customHeight="false" outlineLevel="0" collapsed="false">
      <c r="A16" s="29" t="s">
        <v>1502</v>
      </c>
      <c r="B16" s="29" t="s">
        <v>1503</v>
      </c>
    </row>
    <row r="17" customFormat="false" ht="15" hidden="false" customHeight="false" outlineLevel="0" collapsed="false">
      <c r="A17" s="29" t="s">
        <v>1504</v>
      </c>
      <c r="B17" s="29" t="s">
        <v>1505</v>
      </c>
    </row>
    <row r="18" customFormat="false" ht="15" hidden="false" customHeight="false" outlineLevel="0" collapsed="false">
      <c r="A18" s="29" t="s">
        <v>1506</v>
      </c>
      <c r="B18" s="29" t="s">
        <v>1507</v>
      </c>
    </row>
    <row r="19" customFormat="false" ht="15" hidden="false" customHeight="false" outlineLevel="0" collapsed="false">
      <c r="A19" s="29" t="s">
        <v>1508</v>
      </c>
      <c r="B19" s="29" t="s">
        <v>1509</v>
      </c>
    </row>
    <row r="20" customFormat="false" ht="15" hidden="false" customHeight="false" outlineLevel="0" collapsed="false">
      <c r="A20" s="29" t="s">
        <v>1510</v>
      </c>
      <c r="B20" s="29" t="s">
        <v>1511</v>
      </c>
    </row>
    <row r="21" customFormat="false" ht="23.85" hidden="false" customHeight="false" outlineLevel="0" collapsed="false">
      <c r="A21" s="29" t="s">
        <v>1512</v>
      </c>
      <c r="B21" s="29" t="s">
        <v>1513</v>
      </c>
    </row>
    <row r="22" customFormat="false" ht="15" hidden="false" customHeight="false" outlineLevel="0" collapsed="false">
      <c r="A22" s="29" t="s">
        <v>1514</v>
      </c>
      <c r="B22" s="29" t="s">
        <v>1515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6"/>
    <col collapsed="false" customWidth="true" hidden="false" outlineLevel="0" max="3" min="3" style="1" width="22"/>
    <col collapsed="false" customWidth="true" hidden="false" outlineLevel="0" max="4" min="4" style="1" width="34"/>
    <col collapsed="false" customWidth="true" hidden="false" outlineLevel="0" max="5" min="5" style="1" width="22"/>
  </cols>
  <sheetData>
    <row r="1" customFormat="false" ht="19.7" hidden="false" customHeight="false" outlineLevel="0" collapsed="false">
      <c r="A1" s="2" t="s">
        <v>1516</v>
      </c>
    </row>
    <row r="4" customFormat="false" ht="15" hidden="false" customHeight="false" outlineLevel="0" collapsed="false">
      <c r="A4" s="6" t="s">
        <v>27</v>
      </c>
      <c r="B4" s="6" t="s">
        <v>1517</v>
      </c>
      <c r="C4" s="6" t="s">
        <v>1320</v>
      </c>
      <c r="D4" s="6" t="s">
        <v>1518</v>
      </c>
      <c r="E4" s="6" t="s">
        <v>46</v>
      </c>
    </row>
    <row r="5" customFormat="false" ht="35.05" hidden="false" customHeight="false" outlineLevel="0" collapsed="false">
      <c r="A5" s="29" t="s">
        <v>1519</v>
      </c>
      <c r="B5" s="29" t="s">
        <v>1520</v>
      </c>
      <c r="C5" s="29" t="s">
        <v>1521</v>
      </c>
      <c r="D5" s="29" t="s">
        <v>1522</v>
      </c>
      <c r="E5" s="29" t="s">
        <v>1523</v>
      </c>
    </row>
    <row r="6" customFormat="false" ht="15" hidden="false" customHeight="false" outlineLevel="0" collapsed="false">
      <c r="A6" s="29" t="s">
        <v>1524</v>
      </c>
      <c r="B6" s="29" t="s">
        <v>1525</v>
      </c>
      <c r="C6" s="29" t="s">
        <v>1526</v>
      </c>
      <c r="D6" s="29" t="s">
        <v>1527</v>
      </c>
      <c r="E6" s="29" t="s">
        <v>1523</v>
      </c>
    </row>
    <row r="7" customFormat="false" ht="15" hidden="false" customHeight="false" outlineLevel="0" collapsed="false">
      <c r="A7" s="29" t="s">
        <v>1528</v>
      </c>
      <c r="B7" s="29" t="s">
        <v>1529</v>
      </c>
      <c r="C7" s="29" t="s">
        <v>1530</v>
      </c>
      <c r="D7" s="29" t="s">
        <v>1531</v>
      </c>
      <c r="E7" s="29" t="s">
        <v>1532</v>
      </c>
    </row>
    <row r="8" customFormat="false" ht="15" hidden="false" customHeight="false" outlineLevel="0" collapsed="false">
      <c r="A8" s="29" t="s">
        <v>1533</v>
      </c>
      <c r="B8" s="29" t="s">
        <v>1534</v>
      </c>
      <c r="C8" s="29" t="s">
        <v>1535</v>
      </c>
      <c r="D8" s="29" t="s">
        <v>1536</v>
      </c>
      <c r="E8" s="29" t="s">
        <v>1523</v>
      </c>
    </row>
    <row r="9" customFormat="false" ht="23.85" hidden="false" customHeight="false" outlineLevel="0" collapsed="false">
      <c r="A9" s="29" t="s">
        <v>1537</v>
      </c>
      <c r="B9" s="29" t="s">
        <v>356</v>
      </c>
      <c r="C9" s="29" t="s">
        <v>1538</v>
      </c>
      <c r="D9" s="29" t="s">
        <v>1539</v>
      </c>
      <c r="E9" s="29" t="s">
        <v>1523</v>
      </c>
    </row>
    <row r="10" customFormat="false" ht="15" hidden="false" customHeight="false" outlineLevel="0" collapsed="false">
      <c r="A10" s="29" t="s">
        <v>1540</v>
      </c>
      <c r="B10" s="29" t="s">
        <v>1541</v>
      </c>
      <c r="C10" s="29" t="s">
        <v>1542</v>
      </c>
      <c r="D10" s="29" t="s">
        <v>1543</v>
      </c>
      <c r="E10" s="29" t="s">
        <v>1544</v>
      </c>
    </row>
    <row r="11" customFormat="false" ht="15" hidden="false" customHeight="false" outlineLevel="0" collapsed="false">
      <c r="A11" s="29" t="s">
        <v>1545</v>
      </c>
      <c r="B11" s="29" t="s">
        <v>1546</v>
      </c>
      <c r="C11" s="29" t="s">
        <v>1547</v>
      </c>
      <c r="D11" s="29" t="s">
        <v>1548</v>
      </c>
      <c r="E11" s="29" t="s">
        <v>1523</v>
      </c>
    </row>
    <row r="12" customFormat="false" ht="15" hidden="false" customHeight="false" outlineLevel="0" collapsed="false">
      <c r="A12" s="29" t="s">
        <v>1549</v>
      </c>
      <c r="B12" s="29" t="s">
        <v>592</v>
      </c>
      <c r="C12" s="29" t="s">
        <v>1550</v>
      </c>
      <c r="D12" s="29" t="s">
        <v>1551</v>
      </c>
      <c r="E12" s="29" t="s">
        <v>1523</v>
      </c>
    </row>
    <row r="13" customFormat="false" ht="15" hidden="false" customHeight="false" outlineLevel="0" collapsed="false">
      <c r="A13" s="29" t="s">
        <v>1552</v>
      </c>
      <c r="B13" s="29" t="s">
        <v>1553</v>
      </c>
      <c r="C13" s="29" t="s">
        <v>1554</v>
      </c>
      <c r="D13" s="29" t="s">
        <v>1555</v>
      </c>
      <c r="E13" s="29" t="s">
        <v>1544</v>
      </c>
    </row>
    <row r="14" customFormat="false" ht="15" hidden="false" customHeight="false" outlineLevel="0" collapsed="false">
      <c r="A14" s="29" t="s">
        <v>1556</v>
      </c>
      <c r="B14" s="29" t="s">
        <v>1557</v>
      </c>
      <c r="C14" s="29" t="s">
        <v>1550</v>
      </c>
      <c r="D14" s="29" t="s">
        <v>1558</v>
      </c>
      <c r="E14" s="29" t="s">
        <v>1523</v>
      </c>
    </row>
    <row r="15" customFormat="false" ht="15" hidden="false" customHeight="false" outlineLevel="0" collapsed="false">
      <c r="A15" s="29" t="s">
        <v>1559</v>
      </c>
      <c r="B15" s="29" t="s">
        <v>1560</v>
      </c>
      <c r="C15" s="29" t="s">
        <v>1561</v>
      </c>
      <c r="D15" s="29" t="s">
        <v>1562</v>
      </c>
      <c r="E15" s="29" t="s">
        <v>1523</v>
      </c>
    </row>
    <row r="16" customFormat="false" ht="15" hidden="false" customHeight="false" outlineLevel="0" collapsed="false">
      <c r="A16" s="29" t="s">
        <v>1563</v>
      </c>
      <c r="B16" s="29" t="s">
        <v>1564</v>
      </c>
      <c r="C16" s="29" t="s">
        <v>1530</v>
      </c>
      <c r="D16" s="29" t="s">
        <v>1565</v>
      </c>
      <c r="E16" s="29" t="s">
        <v>1532</v>
      </c>
    </row>
    <row r="17" customFormat="false" ht="15" hidden="false" customHeight="false" outlineLevel="0" collapsed="false">
      <c r="A17" s="29" t="s">
        <v>1566</v>
      </c>
      <c r="B17" s="29" t="s">
        <v>1567</v>
      </c>
      <c r="C17" s="29" t="s">
        <v>1568</v>
      </c>
      <c r="D17" s="29" t="s">
        <v>1569</v>
      </c>
      <c r="E17" s="29" t="s">
        <v>1523</v>
      </c>
    </row>
    <row r="18" customFormat="false" ht="15" hidden="false" customHeight="false" outlineLevel="0" collapsed="false">
      <c r="A18" s="29" t="s">
        <v>1570</v>
      </c>
      <c r="B18" s="29" t="s">
        <v>1571</v>
      </c>
      <c r="C18" s="29" t="s">
        <v>1572</v>
      </c>
      <c r="D18" s="29" t="s">
        <v>1573</v>
      </c>
      <c r="E18" s="29" t="s">
        <v>1574</v>
      </c>
    </row>
    <row r="19" customFormat="false" ht="15" hidden="false" customHeight="false" outlineLevel="0" collapsed="false">
      <c r="A19" s="29" t="s">
        <v>1575</v>
      </c>
      <c r="B19" s="29" t="s">
        <v>1576</v>
      </c>
      <c r="C19" s="29" t="s">
        <v>1577</v>
      </c>
      <c r="D19" s="29" t="s">
        <v>1578</v>
      </c>
      <c r="E19" s="29" t="s">
        <v>1523</v>
      </c>
    </row>
    <row r="20" customFormat="false" ht="15" hidden="false" customHeight="false" outlineLevel="0" collapsed="false">
      <c r="A20" s="29" t="s">
        <v>1579</v>
      </c>
      <c r="B20" s="29" t="s">
        <v>1580</v>
      </c>
      <c r="C20" s="29" t="s">
        <v>1581</v>
      </c>
      <c r="D20" s="29" t="s">
        <v>522</v>
      </c>
      <c r="E20" s="29" t="s">
        <v>1523</v>
      </c>
    </row>
    <row r="21" customFormat="false" ht="15" hidden="false" customHeight="false" outlineLevel="0" collapsed="false">
      <c r="A21" s="29" t="s">
        <v>1582</v>
      </c>
      <c r="B21" s="29" t="s">
        <v>1095</v>
      </c>
      <c r="C21" s="29" t="s">
        <v>1547</v>
      </c>
      <c r="D21" s="29" t="s">
        <v>1583</v>
      </c>
      <c r="E21" s="29" t="s">
        <v>1523</v>
      </c>
    </row>
    <row r="22" customFormat="false" ht="23.85" hidden="false" customHeight="false" outlineLevel="0" collapsed="false">
      <c r="A22" s="29" t="s">
        <v>1584</v>
      </c>
      <c r="B22" s="29" t="s">
        <v>1585</v>
      </c>
      <c r="C22" s="29" t="s">
        <v>1586</v>
      </c>
      <c r="D22" s="29" t="s">
        <v>1587</v>
      </c>
      <c r="E22" s="29" t="s">
        <v>1588</v>
      </c>
    </row>
    <row r="23" customFormat="false" ht="15" hidden="false" customHeight="false" outlineLevel="0" collapsed="false">
      <c r="A23" s="29" t="s">
        <v>1589</v>
      </c>
      <c r="B23" s="29" t="s">
        <v>1590</v>
      </c>
      <c r="C23" s="29" t="s">
        <v>1547</v>
      </c>
      <c r="D23" s="29" t="s">
        <v>1591</v>
      </c>
      <c r="E23" s="29" t="s">
        <v>1523</v>
      </c>
    </row>
    <row r="24" customFormat="false" ht="15" hidden="false" customHeight="false" outlineLevel="0" collapsed="false">
      <c r="A24" s="29" t="s">
        <v>1592</v>
      </c>
      <c r="B24" s="29" t="s">
        <v>1593</v>
      </c>
      <c r="C24" s="29" t="s">
        <v>1594</v>
      </c>
      <c r="D24" s="29" t="s">
        <v>1595</v>
      </c>
      <c r="E24" s="29" t="s">
        <v>1523</v>
      </c>
    </row>
    <row r="25" customFormat="false" ht="15" hidden="false" customHeight="false" outlineLevel="0" collapsed="false">
      <c r="A25" s="29" t="s">
        <v>1596</v>
      </c>
      <c r="B25" s="29" t="s">
        <v>1597</v>
      </c>
      <c r="C25" s="29" t="s">
        <v>1598</v>
      </c>
      <c r="D25" s="29" t="s">
        <v>1599</v>
      </c>
      <c r="E25" s="29" t="s">
        <v>1600</v>
      </c>
    </row>
    <row r="26" customFormat="false" ht="15" hidden="false" customHeight="false" outlineLevel="0" collapsed="false">
      <c r="A26" s="29" t="s">
        <v>1601</v>
      </c>
      <c r="B26" s="29" t="s">
        <v>1602</v>
      </c>
      <c r="C26" s="29" t="s">
        <v>1603</v>
      </c>
      <c r="D26" s="29" t="s">
        <v>1595</v>
      </c>
      <c r="E26" s="29" t="s">
        <v>1523</v>
      </c>
    </row>
    <row r="27" customFormat="false" ht="15" hidden="false" customHeight="false" outlineLevel="0" collapsed="false">
      <c r="A27" s="29" t="s">
        <v>1604</v>
      </c>
      <c r="B27" s="29" t="s">
        <v>1605</v>
      </c>
      <c r="C27" s="29" t="s">
        <v>1606</v>
      </c>
      <c r="D27" s="29" t="s">
        <v>1595</v>
      </c>
      <c r="E27" s="29" t="s">
        <v>1523</v>
      </c>
    </row>
    <row r="28" customFormat="false" ht="15" hidden="false" customHeight="false" outlineLevel="0" collapsed="false">
      <c r="A28" s="29" t="s">
        <v>1607</v>
      </c>
      <c r="B28" s="29" t="s">
        <v>1608</v>
      </c>
      <c r="C28" s="29" t="s">
        <v>1609</v>
      </c>
      <c r="D28" s="29" t="s">
        <v>1610</v>
      </c>
      <c r="E28" s="29" t="s">
        <v>1523</v>
      </c>
    </row>
    <row r="29" customFormat="false" ht="15" hidden="false" customHeight="false" outlineLevel="0" collapsed="false">
      <c r="A29" s="29" t="s">
        <v>1611</v>
      </c>
      <c r="B29" s="29" t="s">
        <v>1612</v>
      </c>
      <c r="C29" s="29" t="s">
        <v>1572</v>
      </c>
      <c r="D29" s="29" t="s">
        <v>1613</v>
      </c>
      <c r="E29" s="29" t="s">
        <v>1523</v>
      </c>
    </row>
    <row r="30" customFormat="false" ht="15" hidden="false" customHeight="false" outlineLevel="0" collapsed="false">
      <c r="A30" s="29" t="s">
        <v>1614</v>
      </c>
      <c r="B30" s="29" t="s">
        <v>1615</v>
      </c>
      <c r="C30" s="29" t="s">
        <v>1572</v>
      </c>
      <c r="D30" s="29" t="s">
        <v>1616</v>
      </c>
      <c r="E30" s="29" t="s">
        <v>1617</v>
      </c>
    </row>
    <row r="32" customFormat="false" ht="15" hidden="false" customHeight="false" outlineLevel="0" collapsed="false">
      <c r="A32" s="33" t="s">
        <v>1618</v>
      </c>
    </row>
    <row r="33" customFormat="false" ht="15" hidden="false" customHeight="false" outlineLevel="0" collapsed="false">
      <c r="A33" s="7" t="s">
        <v>1619</v>
      </c>
    </row>
    <row r="34" customFormat="false" ht="15" hidden="false" customHeight="false" outlineLevel="0" collapsed="false">
      <c r="A34" s="7" t="s">
        <v>1620</v>
      </c>
    </row>
    <row r="35" customFormat="false" ht="15" hidden="false" customHeight="false" outlineLevel="0" collapsed="false">
      <c r="A35" s="7" t="s">
        <v>1621</v>
      </c>
    </row>
    <row r="36" customFormat="false" ht="15" hidden="false" customHeight="false" outlineLevel="0" collapsed="false">
      <c r="A36" s="7" t="s">
        <v>1622</v>
      </c>
    </row>
    <row r="37" customFormat="false" ht="15" hidden="false" customHeight="false" outlineLevel="0" collapsed="false">
      <c r="A37" s="7" t="s">
        <v>1623</v>
      </c>
    </row>
    <row r="38" customFormat="false" ht="15" hidden="false" customHeight="false" outlineLevel="0" collapsed="false">
      <c r="A38" s="7" t="s">
        <v>1624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22"/>
    <col collapsed="false" customWidth="true" hidden="false" outlineLevel="0" max="3" min="3" style="1" width="90"/>
    <col collapsed="false" customWidth="true" hidden="false" outlineLevel="0" max="4" min="4" style="1" width="16"/>
    <col collapsed="false" customWidth="true" hidden="false" outlineLevel="0" max="5" min="5" style="1" width="22"/>
    <col collapsed="false" customWidth="true" hidden="false" outlineLevel="0" max="7" min="6" style="1" width="14"/>
  </cols>
  <sheetData>
    <row r="1" customFormat="false" ht="19.7" hidden="false" customHeight="false" outlineLevel="0" collapsed="false">
      <c r="A1" s="2" t="s">
        <v>1625</v>
      </c>
    </row>
    <row r="2" customFormat="false" ht="15" hidden="false" customHeight="false" outlineLevel="0" collapsed="false">
      <c r="A2" s="3" t="s">
        <v>1626</v>
      </c>
    </row>
    <row r="4" customFormat="false" ht="15" hidden="false" customHeight="false" outlineLevel="0" collapsed="false">
      <c r="A4" s="6" t="s">
        <v>1627</v>
      </c>
      <c r="B4" s="6" t="s">
        <v>1628</v>
      </c>
      <c r="C4" s="6" t="s">
        <v>1629</v>
      </c>
    </row>
    <row r="5" customFormat="false" ht="15" hidden="false" customHeight="false" outlineLevel="0" collapsed="false">
      <c r="A5" s="29" t="s">
        <v>1630</v>
      </c>
      <c r="B5" s="29" t="s">
        <v>1631</v>
      </c>
      <c r="C5" s="29" t="s">
        <v>1632</v>
      </c>
    </row>
    <row r="6" customFormat="false" ht="15" hidden="false" customHeight="false" outlineLevel="0" collapsed="false">
      <c r="A6" s="29" t="s">
        <v>1633</v>
      </c>
      <c r="B6" s="29" t="s">
        <v>1634</v>
      </c>
      <c r="C6" s="29" t="s">
        <v>1635</v>
      </c>
    </row>
    <row r="7" customFormat="false" ht="15" hidden="false" customHeight="false" outlineLevel="0" collapsed="false">
      <c r="A7" s="29" t="s">
        <v>1636</v>
      </c>
      <c r="B7" s="29" t="s">
        <v>1637</v>
      </c>
      <c r="C7" s="29" t="s">
        <v>1638</v>
      </c>
    </row>
    <row r="8" customFormat="false" ht="15" hidden="false" customHeight="false" outlineLevel="0" collapsed="false">
      <c r="A8" s="29" t="s">
        <v>1639</v>
      </c>
      <c r="B8" s="29" t="s">
        <v>1640</v>
      </c>
      <c r="C8" s="29" t="s">
        <v>1641</v>
      </c>
    </row>
    <row r="9" customFormat="false" ht="23.85" hidden="false" customHeight="false" outlineLevel="0" collapsed="false">
      <c r="A9" s="29" t="s">
        <v>1642</v>
      </c>
      <c r="B9" s="29" t="s">
        <v>1643</v>
      </c>
      <c r="C9" s="29" t="s">
        <v>1644</v>
      </c>
    </row>
    <row r="10" customFormat="false" ht="15" hidden="false" customHeight="false" outlineLevel="0" collapsed="false">
      <c r="A10" s="29" t="s">
        <v>1645</v>
      </c>
      <c r="B10" s="29" t="s">
        <v>1646</v>
      </c>
      <c r="C10" s="29" t="s">
        <v>1647</v>
      </c>
    </row>
    <row r="11" customFormat="false" ht="15" hidden="false" customHeight="false" outlineLevel="0" collapsed="false">
      <c r="A11" s="29" t="s">
        <v>1648</v>
      </c>
      <c r="B11" s="29" t="s">
        <v>1649</v>
      </c>
      <c r="C11" s="29" t="s">
        <v>1650</v>
      </c>
    </row>
    <row r="12" customFormat="false" ht="15" hidden="false" customHeight="false" outlineLevel="0" collapsed="false">
      <c r="A12" s="29" t="s">
        <v>1651</v>
      </c>
      <c r="B12" s="29" t="s">
        <v>1652</v>
      </c>
      <c r="C12" s="29" t="s">
        <v>1653</v>
      </c>
    </row>
    <row r="13" customFormat="false" ht="23.85" hidden="false" customHeight="false" outlineLevel="0" collapsed="false">
      <c r="A13" s="29" t="s">
        <v>1654</v>
      </c>
      <c r="B13" s="29" t="s">
        <v>1655</v>
      </c>
      <c r="C13" s="29" t="s">
        <v>1656</v>
      </c>
    </row>
    <row r="14" customFormat="false" ht="15" hidden="false" customHeight="false" outlineLevel="0" collapsed="false">
      <c r="A14" s="29" t="s">
        <v>1657</v>
      </c>
      <c r="B14" s="29" t="s">
        <v>1658</v>
      </c>
      <c r="C14" s="29" t="s">
        <v>1659</v>
      </c>
    </row>
    <row r="17" customFormat="false" ht="15" hidden="false" customHeight="false" outlineLevel="0" collapsed="false">
      <c r="A17" s="4" t="s">
        <v>1660</v>
      </c>
    </row>
    <row r="18" customFormat="false" ht="15" hidden="false" customHeight="false" outlineLevel="0" collapsed="false">
      <c r="A18" s="6" t="s">
        <v>19</v>
      </c>
      <c r="B18" s="6" t="s">
        <v>1661</v>
      </c>
      <c r="C18" s="6" t="s">
        <v>1662</v>
      </c>
      <c r="D18" s="6" t="s">
        <v>1663</v>
      </c>
      <c r="E18" s="6" t="s">
        <v>1664</v>
      </c>
      <c r="F18" s="6" t="s">
        <v>1665</v>
      </c>
      <c r="G18" s="6" t="s">
        <v>1666</v>
      </c>
    </row>
    <row r="19" customFormat="false" ht="15" hidden="false" customHeight="false" outlineLevel="0" collapsed="false">
      <c r="A19" s="34" t="s">
        <v>21</v>
      </c>
      <c r="B19" s="34" t="n">
        <f aca="false">COUNTIF(Calendar!$E:$E,A19)</f>
        <v>35</v>
      </c>
      <c r="C19" s="34" t="n">
        <f aca="false">COUNTIFS(Calendar!$E:$E,A19,Calendar!$V:$V,"Posted")</f>
        <v>0</v>
      </c>
      <c r="D19" s="35" t="n">
        <f aca="false">SUMIF(Calendar!$E:$E,A19,Calendar!$W:$W)</f>
        <v>0</v>
      </c>
      <c r="E19" s="36" t="str">
        <f aca="false">IFERROR(AVERAGEIFS(Calendar!$AC:$AC,Calendar!$E:$E,A19,Calendar!$V:$V,"Posted"),"")</f>
        <v/>
      </c>
      <c r="F19" s="34" t="n">
        <f aca="false">SUMIF(Calendar!$E:$E,A19,Calendar!$AB:$AB)</f>
        <v>0</v>
      </c>
      <c r="G19" s="34" t="n">
        <f aca="false">SUMIF(Calendar!$E:$E,A19,Calendar!$AA:$AA)</f>
        <v>0</v>
      </c>
    </row>
    <row r="20" customFormat="false" ht="15" hidden="false" customHeight="false" outlineLevel="0" collapsed="false">
      <c r="A20" s="34" t="s">
        <v>22</v>
      </c>
      <c r="B20" s="34" t="n">
        <f aca="false">COUNTIF(Calendar!$E:$E,A20)</f>
        <v>34</v>
      </c>
      <c r="C20" s="34" t="n">
        <f aca="false">COUNTIFS(Calendar!$E:$E,A20,Calendar!$V:$V,"Posted")</f>
        <v>0</v>
      </c>
      <c r="D20" s="35" t="n">
        <f aca="false">SUMIF(Calendar!$E:$E,A20,Calendar!$W:$W)</f>
        <v>0</v>
      </c>
      <c r="E20" s="36" t="str">
        <f aca="false">IFERROR(AVERAGEIFS(Calendar!$AC:$AC,Calendar!$E:$E,A20,Calendar!$V:$V,"Posted"),"")</f>
        <v/>
      </c>
      <c r="F20" s="34" t="n">
        <f aca="false">SUMIF(Calendar!$E:$E,A20,Calendar!$AB:$AB)</f>
        <v>0</v>
      </c>
      <c r="G20" s="34" t="n">
        <f aca="false">SUMIF(Calendar!$E:$E,A20,Calendar!$AA:$AA)</f>
        <v>0</v>
      </c>
    </row>
    <row r="21" customFormat="false" ht="15" hidden="false" customHeight="false" outlineLevel="0" collapsed="false">
      <c r="A21" s="34" t="s">
        <v>23</v>
      </c>
      <c r="B21" s="34" t="n">
        <f aca="false">COUNTIF(Calendar!$E:$E,A21)</f>
        <v>30</v>
      </c>
      <c r="C21" s="34" t="n">
        <f aca="false">COUNTIFS(Calendar!$E:$E,A21,Calendar!$V:$V,"Posted")</f>
        <v>0</v>
      </c>
      <c r="D21" s="35" t="n">
        <f aca="false">SUMIF(Calendar!$E:$E,A21,Calendar!$W:$W)</f>
        <v>0</v>
      </c>
      <c r="E21" s="36" t="str">
        <f aca="false">IFERROR(AVERAGEIFS(Calendar!$AC:$AC,Calendar!$E:$E,A21,Calendar!$V:$V,"Posted"),"")</f>
        <v/>
      </c>
      <c r="F21" s="34" t="n">
        <f aca="false">SUMIF(Calendar!$E:$E,A21,Calendar!$AB:$AB)</f>
        <v>0</v>
      </c>
      <c r="G21" s="34" t="n">
        <f aca="false">SUMIF(Calendar!$E:$E,A21,Calendar!$AA:$AA)</f>
        <v>0</v>
      </c>
    </row>
    <row r="22" customFormat="false" ht="15" hidden="false" customHeight="false" outlineLevel="0" collapsed="false">
      <c r="A22" s="34" t="s">
        <v>24</v>
      </c>
      <c r="B22" s="34" t="n">
        <f aca="false">COUNTIF(Calendar!$E:$E,A22)</f>
        <v>12</v>
      </c>
      <c r="C22" s="34" t="n">
        <f aca="false">COUNTIFS(Calendar!$E:$E,A22,Calendar!$V:$V,"Posted")</f>
        <v>0</v>
      </c>
      <c r="D22" s="35" t="n">
        <f aca="false">SUMIF(Calendar!$E:$E,A22,Calendar!$W:$W)</f>
        <v>0</v>
      </c>
      <c r="E22" s="36" t="str">
        <f aca="false">IFERROR(AVERAGEIFS(Calendar!$AC:$AC,Calendar!$E:$E,A22,Calendar!$V:$V,"Posted"),"")</f>
        <v/>
      </c>
      <c r="F22" s="34" t="n">
        <f aca="false">SUMIF(Calendar!$E:$E,A22,Calendar!$AB:$AB)</f>
        <v>0</v>
      </c>
      <c r="G22" s="34" t="n">
        <f aca="false">SUMIF(Calendar!$E:$E,A22,Calendar!$AA:$AA)</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0"/>
  </cols>
  <sheetData>
    <row r="1" customFormat="false" ht="19.7" hidden="false" customHeight="false" outlineLevel="0" collapsed="false">
      <c r="A1" s="2" t="s">
        <v>1667</v>
      </c>
    </row>
    <row r="4" customFormat="false" ht="15" hidden="false" customHeight="false" outlineLevel="0" collapsed="false">
      <c r="A4" s="6" t="s">
        <v>1668</v>
      </c>
      <c r="B4" s="6" t="s">
        <v>1669</v>
      </c>
    </row>
    <row r="5" customFormat="false" ht="15" hidden="false" customHeight="false" outlineLevel="0" collapsed="false">
      <c r="A5" s="29" t="s">
        <v>1222</v>
      </c>
      <c r="B5" s="29" t="s">
        <v>1670</v>
      </c>
    </row>
    <row r="6" customFormat="false" ht="15" hidden="false" customHeight="false" outlineLevel="0" collapsed="false">
      <c r="A6" s="29" t="s">
        <v>1671</v>
      </c>
      <c r="B6" s="29" t="s">
        <v>1672</v>
      </c>
    </row>
    <row r="7" customFormat="false" ht="15" hidden="false" customHeight="false" outlineLevel="0" collapsed="false">
      <c r="A7" s="29" t="s">
        <v>1673</v>
      </c>
      <c r="B7" s="29" t="s">
        <v>1674</v>
      </c>
    </row>
    <row r="8" customFormat="false" ht="15" hidden="false" customHeight="false" outlineLevel="0" collapsed="false">
      <c r="A8" s="29" t="s">
        <v>1675</v>
      </c>
      <c r="B8" s="29" t="s">
        <v>1676</v>
      </c>
    </row>
    <row r="9" customFormat="false" ht="15" hidden="false" customHeight="false" outlineLevel="0" collapsed="false">
      <c r="A9" s="29" t="s">
        <v>1226</v>
      </c>
      <c r="B9" s="29" t="s">
        <v>1677</v>
      </c>
    </row>
    <row r="10" customFormat="false" ht="23.85" hidden="false" customHeight="false" outlineLevel="0" collapsed="false">
      <c r="A10" s="29" t="s">
        <v>1678</v>
      </c>
      <c r="B10" s="29" t="s">
        <v>1679</v>
      </c>
    </row>
    <row r="12" customFormat="false" ht="15" hidden="false" customHeight="false" outlineLevel="0" collapsed="false">
      <c r="A12" s="33" t="s">
        <v>1680</v>
      </c>
    </row>
    <row r="13" customFormat="false" ht="23.85" hidden="false" customHeight="false" outlineLevel="0" collapsed="false">
      <c r="A13" s="7" t="n">
        <v>1</v>
      </c>
      <c r="B13" s="5" t="s">
        <v>1681</v>
      </c>
    </row>
    <row r="14" customFormat="false" ht="15" hidden="false" customHeight="false" outlineLevel="0" collapsed="false">
      <c r="A14" s="7" t="n">
        <v>2</v>
      </c>
      <c r="B14" s="5" t="s">
        <v>1682</v>
      </c>
    </row>
    <row r="15" customFormat="false" ht="15" hidden="false" customHeight="false" outlineLevel="0" collapsed="false">
      <c r="A15" s="7" t="n">
        <v>3</v>
      </c>
      <c r="B15" s="5" t="s">
        <v>1683</v>
      </c>
    </row>
    <row r="16" customFormat="false" ht="15" hidden="false" customHeight="false" outlineLevel="0" collapsed="false">
      <c r="A16" s="7" t="n">
        <v>4</v>
      </c>
      <c r="B16" s="5" t="s">
        <v>1684</v>
      </c>
    </row>
    <row r="17" customFormat="false" ht="23.85" hidden="false" customHeight="false" outlineLevel="0" collapsed="false">
      <c r="A17" s="7" t="n">
        <v>5</v>
      </c>
      <c r="B17" s="5" t="s">
        <v>1685</v>
      </c>
    </row>
    <row r="18" customFormat="false" ht="23.85" hidden="false" customHeight="false" outlineLevel="0" collapsed="false">
      <c r="A18" s="7" t="n">
        <v>6</v>
      </c>
      <c r="B18" s="5" t="s">
        <v>1686</v>
      </c>
    </row>
    <row r="19" customFormat="false" ht="15" hidden="false" customHeight="false" outlineLevel="0" collapsed="false">
      <c r="A19" s="7" t="n">
        <v>7</v>
      </c>
      <c r="B19" s="5" t="s">
        <v>1687</v>
      </c>
    </row>
    <row r="20" customFormat="false" ht="15" hidden="false" customHeight="false" outlineLevel="0" collapsed="false">
      <c r="A20" s="7" t="n">
        <v>8</v>
      </c>
      <c r="B20" s="5" t="s">
        <v>1688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110"/>
  </cols>
  <sheetData>
    <row r="1" customFormat="false" ht="19.7" hidden="false" customHeight="false" outlineLevel="0" collapsed="false">
      <c r="A1" s="2" t="s">
        <v>1689</v>
      </c>
    </row>
    <row r="2" customFormat="false" ht="15" hidden="false" customHeight="false" outlineLevel="0" collapsed="false">
      <c r="A2" s="3" t="s">
        <v>1690</v>
      </c>
    </row>
    <row r="4" customFormat="false" ht="15" hidden="false" customHeight="false" outlineLevel="0" collapsed="false">
      <c r="A4" s="6" t="s">
        <v>1691</v>
      </c>
      <c r="B4" s="6" t="s">
        <v>1692</v>
      </c>
    </row>
    <row r="5" customFormat="false" ht="15" hidden="false" customHeight="false" outlineLevel="0" collapsed="false">
      <c r="A5" s="7" t="s">
        <v>1693</v>
      </c>
      <c r="B5" s="37" t="s">
        <v>1694</v>
      </c>
    </row>
    <row r="6" customFormat="false" ht="15" hidden="false" customHeight="false" outlineLevel="0" collapsed="false">
      <c r="A6" s="7" t="s">
        <v>1695</v>
      </c>
      <c r="B6" s="37" t="s">
        <v>1696</v>
      </c>
    </row>
    <row r="7" customFormat="false" ht="15" hidden="false" customHeight="false" outlineLevel="0" collapsed="false">
      <c r="A7" s="7" t="s">
        <v>1697</v>
      </c>
      <c r="B7" s="37" t="s">
        <v>1698</v>
      </c>
    </row>
    <row r="8" customFormat="false" ht="15" hidden="false" customHeight="false" outlineLevel="0" collapsed="false">
      <c r="A8" s="7" t="s">
        <v>1699</v>
      </c>
      <c r="B8" s="37" t="s">
        <v>1700</v>
      </c>
    </row>
    <row r="9" customFormat="false" ht="15" hidden="false" customHeight="false" outlineLevel="0" collapsed="false">
      <c r="A9" s="7" t="s">
        <v>1701</v>
      </c>
      <c r="B9" s="37" t="s">
        <v>1702</v>
      </c>
    </row>
    <row r="10" customFormat="false" ht="15" hidden="false" customHeight="false" outlineLevel="0" collapsed="false">
      <c r="A10" s="7" t="s">
        <v>1703</v>
      </c>
      <c r="B10" s="37" t="s">
        <v>1704</v>
      </c>
    </row>
    <row r="11" customFormat="false" ht="15" hidden="false" customHeight="false" outlineLevel="0" collapsed="false">
      <c r="A11" s="7" t="s">
        <v>1705</v>
      </c>
      <c r="B11" s="37" t="s">
        <v>1706</v>
      </c>
    </row>
    <row r="12" customFormat="false" ht="15" hidden="false" customHeight="false" outlineLevel="0" collapsed="false">
      <c r="A12" s="7" t="s">
        <v>1707</v>
      </c>
      <c r="B12" s="37" t="s">
        <v>1708</v>
      </c>
    </row>
    <row r="13" customFormat="false" ht="15" hidden="false" customHeight="false" outlineLevel="0" collapsed="false">
      <c r="A13" s="7" t="s">
        <v>1709</v>
      </c>
      <c r="B13" s="37" t="s">
        <v>1710</v>
      </c>
    </row>
    <row r="14" customFormat="false" ht="15" hidden="false" customHeight="false" outlineLevel="0" collapsed="false">
      <c r="A14" s="7" t="s">
        <v>1711</v>
      </c>
      <c r="B14" s="37" t="s">
        <v>1712</v>
      </c>
    </row>
    <row r="15" customFormat="false" ht="15" hidden="false" customHeight="false" outlineLevel="0" collapsed="false">
      <c r="A15" s="7" t="s">
        <v>1713</v>
      </c>
      <c r="B15" s="37" t="s">
        <v>1714</v>
      </c>
    </row>
    <row r="16" customFormat="false" ht="15" hidden="false" customHeight="false" outlineLevel="0" collapsed="false">
      <c r="A16" s="7" t="s">
        <v>1715</v>
      </c>
      <c r="B16" s="37" t="s">
        <v>1716</v>
      </c>
    </row>
    <row r="17" customFormat="false" ht="15" hidden="false" customHeight="false" outlineLevel="0" collapsed="false">
      <c r="A17" s="7" t="s">
        <v>1717</v>
      </c>
      <c r="B17" s="37" t="s">
        <v>1718</v>
      </c>
    </row>
    <row r="18" customFormat="false" ht="15" hidden="false" customHeight="false" outlineLevel="0" collapsed="false">
      <c r="A18" s="7" t="s">
        <v>1719</v>
      </c>
      <c r="B18" s="37" t="s">
        <v>1720</v>
      </c>
    </row>
    <row r="19" customFormat="false" ht="15" hidden="false" customHeight="false" outlineLevel="0" collapsed="false">
      <c r="A19" s="7" t="s">
        <v>1721</v>
      </c>
      <c r="B19" s="37" t="s">
        <v>1722</v>
      </c>
    </row>
    <row r="20" customFormat="false" ht="15" hidden="false" customHeight="false" outlineLevel="0" collapsed="false">
      <c r="A20" s="7" t="s">
        <v>1723</v>
      </c>
      <c r="B20" s="37" t="s">
        <v>1724</v>
      </c>
    </row>
    <row r="21" customFormat="false" ht="15" hidden="false" customHeight="false" outlineLevel="0" collapsed="false">
      <c r="A21" s="7" t="s">
        <v>1725</v>
      </c>
      <c r="B21" s="37" t="s">
        <v>1726</v>
      </c>
    </row>
    <row r="22" customFormat="false" ht="15" hidden="false" customHeight="false" outlineLevel="0" collapsed="false">
      <c r="A22" s="7" t="s">
        <v>1727</v>
      </c>
      <c r="B22" s="37" t="s">
        <v>1728</v>
      </c>
    </row>
    <row r="23" customFormat="false" ht="15" hidden="false" customHeight="false" outlineLevel="0" collapsed="false">
      <c r="A23" s="7" t="s">
        <v>1729</v>
      </c>
      <c r="B23" s="37" t="s">
        <v>1730</v>
      </c>
    </row>
    <row r="24" customFormat="false" ht="15" hidden="false" customHeight="false" outlineLevel="0" collapsed="false">
      <c r="A24" s="7" t="s">
        <v>1731</v>
      </c>
      <c r="B24" s="37" t="s">
        <v>1732</v>
      </c>
    </row>
    <row r="25" customFormat="false" ht="15" hidden="false" customHeight="false" outlineLevel="0" collapsed="false">
      <c r="A25" s="7" t="s">
        <v>1733</v>
      </c>
      <c r="B25" s="37" t="s">
        <v>1734</v>
      </c>
    </row>
    <row r="26" customFormat="false" ht="15" hidden="false" customHeight="false" outlineLevel="0" collapsed="false">
      <c r="A26" s="7" t="s">
        <v>1735</v>
      </c>
      <c r="B26" s="37" t="s">
        <v>1736</v>
      </c>
    </row>
    <row r="27" customFormat="false" ht="15" hidden="false" customHeight="false" outlineLevel="0" collapsed="false">
      <c r="A27" s="7" t="s">
        <v>1737</v>
      </c>
      <c r="B27" s="37" t="s">
        <v>1738</v>
      </c>
    </row>
    <row r="28" customFormat="false" ht="15" hidden="false" customHeight="false" outlineLevel="0" collapsed="false">
      <c r="A28" s="7" t="s">
        <v>1739</v>
      </c>
      <c r="B28" s="37" t="s">
        <v>1740</v>
      </c>
    </row>
    <row r="29" customFormat="false" ht="15" hidden="false" customHeight="false" outlineLevel="0" collapsed="false">
      <c r="A29" s="7" t="s">
        <v>1741</v>
      </c>
      <c r="B29" s="37" t="s">
        <v>1742</v>
      </c>
    </row>
    <row r="30" customFormat="false" ht="15" hidden="false" customHeight="false" outlineLevel="0" collapsed="false">
      <c r="A30" s="7" t="s">
        <v>1743</v>
      </c>
      <c r="B30" s="37" t="s">
        <v>1744</v>
      </c>
    </row>
    <row r="31" customFormat="false" ht="15" hidden="false" customHeight="false" outlineLevel="0" collapsed="false">
      <c r="A31" s="7" t="s">
        <v>1745</v>
      </c>
      <c r="B31" s="37" t="s">
        <v>1746</v>
      </c>
    </row>
    <row r="32" customFormat="false" ht="15" hidden="false" customHeight="false" outlineLevel="0" collapsed="false">
      <c r="A32" s="7" t="s">
        <v>1747</v>
      </c>
      <c r="B32" s="37" t="s">
        <v>1748</v>
      </c>
    </row>
    <row r="33" customFormat="false" ht="15" hidden="false" customHeight="false" outlineLevel="0" collapsed="false">
      <c r="A33" s="7" t="s">
        <v>1749</v>
      </c>
      <c r="B33" s="37" t="s">
        <v>1750</v>
      </c>
    </row>
    <row r="34" customFormat="false" ht="15" hidden="false" customHeight="false" outlineLevel="0" collapsed="false">
      <c r="A34" s="7" t="s">
        <v>1751</v>
      </c>
      <c r="B34" s="37" t="s">
        <v>1752</v>
      </c>
    </row>
    <row r="35" customFormat="false" ht="15" hidden="false" customHeight="false" outlineLevel="0" collapsed="false">
      <c r="A35" s="7" t="s">
        <v>1753</v>
      </c>
      <c r="B35" s="37" t="s">
        <v>1754</v>
      </c>
    </row>
    <row r="36" customFormat="false" ht="15" hidden="false" customHeight="false" outlineLevel="0" collapsed="false">
      <c r="A36" s="7" t="s">
        <v>1755</v>
      </c>
      <c r="B36" s="37" t="s">
        <v>1756</v>
      </c>
    </row>
    <row r="37" customFormat="false" ht="15" hidden="false" customHeight="false" outlineLevel="0" collapsed="false">
      <c r="A37" s="7" t="s">
        <v>1757</v>
      </c>
      <c r="B37" s="37" t="s">
        <v>1758</v>
      </c>
    </row>
    <row r="38" customFormat="false" ht="15" hidden="false" customHeight="false" outlineLevel="0" collapsed="false">
      <c r="A38" s="7" t="s">
        <v>1759</v>
      </c>
      <c r="B38" s="37" t="s">
        <v>1760</v>
      </c>
    </row>
    <row r="39" customFormat="false" ht="15" hidden="false" customHeight="false" outlineLevel="0" collapsed="false">
      <c r="A39" s="7" t="s">
        <v>1761</v>
      </c>
      <c r="B39" s="37" t="s">
        <v>1762</v>
      </c>
    </row>
    <row r="40" customFormat="false" ht="15" hidden="false" customHeight="false" outlineLevel="0" collapsed="false">
      <c r="A40" s="7" t="s">
        <v>1763</v>
      </c>
      <c r="B40" s="37" t="s">
        <v>1764</v>
      </c>
    </row>
    <row r="41" customFormat="false" ht="15" hidden="false" customHeight="false" outlineLevel="0" collapsed="false">
      <c r="A41" s="7" t="s">
        <v>1765</v>
      </c>
      <c r="B41" s="37" t="s">
        <v>1766</v>
      </c>
    </row>
    <row r="42" customFormat="false" ht="15" hidden="false" customHeight="false" outlineLevel="0" collapsed="false">
      <c r="A42" s="7" t="s">
        <v>1767</v>
      </c>
      <c r="B42" s="37" t="s">
        <v>1768</v>
      </c>
    </row>
    <row r="43" customFormat="false" ht="15" hidden="false" customHeight="false" outlineLevel="0" collapsed="false">
      <c r="A43" s="7" t="s">
        <v>1769</v>
      </c>
      <c r="B43" s="37" t="s">
        <v>1770</v>
      </c>
    </row>
    <row r="44" customFormat="false" ht="15" hidden="false" customHeight="false" outlineLevel="0" collapsed="false">
      <c r="A44" s="7" t="s">
        <v>1771</v>
      </c>
      <c r="B44" s="37" t="s">
        <v>1772</v>
      </c>
    </row>
    <row r="45" customFormat="false" ht="15" hidden="false" customHeight="false" outlineLevel="0" collapsed="false">
      <c r="A45" s="7" t="s">
        <v>1773</v>
      </c>
      <c r="B45" s="37" t="s">
        <v>1774</v>
      </c>
    </row>
    <row r="46" customFormat="false" ht="15" hidden="false" customHeight="false" outlineLevel="0" collapsed="false">
      <c r="A46" s="7" t="s">
        <v>1775</v>
      </c>
      <c r="B46" s="37" t="s">
        <v>1776</v>
      </c>
    </row>
    <row r="47" customFormat="false" ht="15" hidden="false" customHeight="false" outlineLevel="0" collapsed="false">
      <c r="A47" s="7" t="s">
        <v>1777</v>
      </c>
      <c r="B47" s="37" t="s">
        <v>1778</v>
      </c>
    </row>
    <row r="48" customFormat="false" ht="15" hidden="false" customHeight="false" outlineLevel="0" collapsed="false">
      <c r="A48" s="7" t="s">
        <v>1779</v>
      </c>
      <c r="B48" s="37" t="s">
        <v>1780</v>
      </c>
    </row>
    <row r="49" customFormat="false" ht="15" hidden="false" customHeight="false" outlineLevel="0" collapsed="false">
      <c r="A49" s="7" t="s">
        <v>1781</v>
      </c>
      <c r="B49" s="37" t="s">
        <v>1782</v>
      </c>
    </row>
  </sheetData>
  <hyperlinks>
    <hyperlink ref="B5" r:id="rId1" display="https://datareportal.com/reports/digital-2026-saudi-arabia"/>
    <hyperlink ref="B6" r:id="rId2" display="https://www.cst.gov.sa/en/media-center/news/N2026071901"/>
    <hyperlink ref="B7" r:id="rId3" display="https://www.agbi.com/analysis/media/2026/02/gulfs-love-for-arabic-content-shields-local-tiktok"/>
    <hyperlink ref="B8" r:id="rId4" display="https://www.socialmediatoday.com/news/instagram-shares-algorithm-insights-2025/738034/"/>
    <hyperlink ref="B9" r:id="rId5" display="https://tubefilter.com/2026/04/30/instagram-removes-algorithm-recommendations-repost-content-aggregator"/>
    <hyperlink ref="B10" r:id="rId6" display="https://www.engadget.com/social-media/instagram-swoops-in-with-3-minute-reels-and-rectangular-profile-grids-as-the-tiktok-ban-gets-real-201316339.html"/>
    <hyperlink ref="B11" r:id="rId7" display="https://inmagic.ai/how-many-hashtags-on-instagram/"/>
    <hyperlink ref="B12" r:id="rId8" display="https://buffer.com/resources/data-best-content-format-social-media/"/>
    <hyperlink ref="B13" r:id="rId9" display="https://buffer.com/resources/how-often-to-post-on-instagram/"/>
    <hyperlink ref="B14" r:id="rId10" display="https://www.socialinsider.io/social-media-benchmarks"/>
    <hyperlink ref="B15" r:id="rId11" display="https://www.socialinsider.io/blog/twitter-benchmarks/"/>
    <hyperlink ref="B16" r:id="rId12" display="https://www.socialmediatoday.com/news/report-shows-document-posts-on-linkedin-see-more-engagement/816551/"/>
    <hyperlink ref="B17" r:id="rId13" display="https://www.dashsocial.com/social-media-benchmarks/travel-industry"/>
    <hyperlink ref="B18" r:id="rId14" display="https://www.mediapost.com/publications/article/408371/tiktok-limits-hashtags-as-algorithms-become-more-s.html"/>
    <hyperlink ref="B19" r:id="rId15" display="https://www.netinfluencer.com/tiktok-longer-videos-outperform-short-form-content-study-reveals/"/>
    <hyperlink ref="B20" r:id="rId16" display="https://venturebeat.com/data/x-open-sources-its-algorithm-5-ways-businesses-can-benefit"/>
    <hyperlink ref="B21" r:id="rId17" display="https://news.linkedin.com/2026/ImprovingTheFeed"/>
    <hyperlink ref="B22" r:id="rId18" display="https://communicateonline.me/news/tiktoks-2026-forecast-flags-authenticity-emotional-value-as-key-to-middle-east-brand-growth/"/>
    <hyperlink ref="B23" r:id="rId19" display="https://saudipedia.com/en/what-is-the-mawthooq-license"/>
    <hyperlink ref="B24" r:id="rId20" display="https://onemileatatime.com/news/saudi-arabia-social-media-rules-ban-flaunting-luxury-showing-skin/"/>
    <hyperlink ref="B25" r:id="rId21" display="https://timetopost.co/best-time-to-post/tiktok/saudi-arabia/"/>
    <hyperlink ref="B26" r:id="rId22" display="https://www.warc.com/en/article/almosafer%3A-stories-of-mecca-ae845e3a06434a00af75ca9276b88141"/>
    <hyperlink ref="B27" r:id="rId23" display="https://communicateonline.me/news/saudia-wins-three-cannes-lions-awards-for-travel-pilgrim-initiatives/"/>
    <hyperlink ref="B28" r:id="rId24" display="https://www.flynas.com/en/media-center/news-updates/people-lens/"/>
    <hyperlink ref="B29" r:id="rId25" display="https://campaignme.com/we-are-building-the-brand-from-a-blank-sheet-of-paper/"/>
    <hyperlink ref="B30" r:id="rId26" display="https://ads.tiktok.com/business/en/inspiration/visit-saudi-branded-search-hub-case-study"/>
    <hyperlink ref="B31" r:id="rId27" display="https://shortyawards.com/17th/mdlbeast-soundstorm-2024"/>
    <hyperlink ref="B32" r:id="rId28" display="https://hypeauditor.com/instagram/almosafertravel_sa/"/>
    <hyperlink ref="B33" r:id="rId29" display="https://www.thenationalnews.com/travel/2026/10/18/riyadh-airport-reopens-which-airlines-are-still-cancelling-flights-to-saudi-arabia/"/>
    <hyperlink ref="B34" r:id="rId30" display="https://www.spa.gov.sa/en/N2686677"/>
    <hyperlink ref="B35" r:id="rId31" display="https://www.arabnews.pk/saudi-arabia/alula-skies-festival-returns-in-november-with-balloons-stargazing-and-night-sky-events-3002785"/>
    <hyperlink ref="B36" r:id="rId32" display="https://corporate.wwe.com/about/news/2026/09-01-2026"/>
    <hyperlink ref="B37" r:id="rId33" display="https://cityscapeglobal.com/welcome-to-cityscape-global-2026"/>
    <hyperlink ref="B38" r:id="rId34" display="https://mdares.ai/sa-en/calendar/print"/>
    <hyperlink ref="B39" r:id="rId35" display="https://salla.com/en/tools/seasons-calendar/seasons/white-friday-2026"/>
    <hyperlink ref="B40" r:id="rId36" display="https://islamic.app/hijri/rajab-sacred-month/2026"/>
    <hyperlink ref="B41" r:id="rId37" display="https://www.thenationalnews.com/news/uae/2026/09/09/ramadan-2027-dates-eid-al-fitr-holiday/"/>
    <hyperlink ref="B42" r:id="rId38" display="https://www.fiaformulae.com/en/news/1074658"/>
    <hyperlink ref="B43" r:id="rId39" display="https://www.listmag.com/en/see-do/events-entertainment/unmissable-events-already-confirmed-for-riyadh-season-3741"/>
    <hyperlink ref="B44" r:id="rId40" display="https://www.travelpirates.com/captains-log/european-christmas-market-dates-2026"/>
    <hyperlink ref="B45" r:id="rId41" display="https://arab.news/5aeyp"/>
    <hyperlink ref="B46" r:id="rId42" display="https://almatar.com/blog/?p=24141"/>
    <hyperlink ref="B47" r:id="rId43" display="https://www.listmag.com/en/travel-stay/saudi-arabia-and-russia-launch-mutual-visa-free-travel-agreement-4296"/>
    <hyperlink ref="B48" r:id="rId44" display="https://deadline.com/2026/09/saudi-arabia-red-sea-film-festival-cancels-2026-edition-1237109142/"/>
    <hyperlink ref="B49" r:id="rId45" display="https://djmag.com/news/soundstorm-festival-cancels-2026-edi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2026-10-18T13:31:39Z</dcterms:created>
  <dc:creator>openpyxl</dc:creator>
  <dc:description/>
  <dc:language>en-US</dc:language>
  <cp:lastModifiedBy/>
  <dcterms:modified xsi:type="dcterms:W3CDTF">2026-10-18T13:31:39Z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