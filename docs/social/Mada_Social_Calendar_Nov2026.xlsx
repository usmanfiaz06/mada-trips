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Calendar" sheetId="2" state="visible" r:id="rId2"/>
    <sheet xmlns:r="http://schemas.openxmlformats.org/officeDocument/2006/relationships" name="Team board" sheetId="3" state="visible" r:id="rId3"/>
    <sheet xmlns:r="http://schemas.openxmlformats.org/officeDocument/2006/relationships" name="Month view" sheetId="4" state="visible" r:id="rId4"/>
    <sheet xmlns:r="http://schemas.openxmlformats.org/officeDocument/2006/relationships" name="Platform playbook" sheetId="5" state="visible" r:id="rId5"/>
    <sheet xmlns:r="http://schemas.openxmlformats.org/officeDocument/2006/relationships" name="Pillars &amp; series" sheetId="6" state="visible" r:id="rId6"/>
    <sheet xmlns:r="http://schemas.openxmlformats.org/officeDocument/2006/relationships" name="Guidelines" sheetId="7" state="visible" r:id="rId7"/>
    <sheet xmlns:r="http://schemas.openxmlformats.org/officeDocument/2006/relationships" name="Keywords" sheetId="8" state="visible" r:id="rId8"/>
    <sheet xmlns:r="http://schemas.openxmlformats.org/officeDocument/2006/relationships" name="Competitors" sheetId="9" state="visible" r:id="rId9"/>
    <sheet xmlns:r="http://schemas.openxmlformats.org/officeDocument/2006/relationships" name="Moments" sheetId="10" state="visible" r:id="rId10"/>
    <sheet xmlns:r="http://schemas.openxmlformats.org/officeDocument/2006/relationships" name="Global destinations" sheetId="11" state="visible" r:id="rId11"/>
    <sheet xmlns:r="http://schemas.openxmlformats.org/officeDocument/2006/relationships" name="KPIs &amp; tracking" sheetId="12" state="visible" r:id="rId12"/>
    <sheet xmlns:r="http://schemas.openxmlformats.org/officeDocument/2006/relationships" name="Workflow &amp; sensitivity" sheetId="13" state="visible" r:id="rId13"/>
    <sheet xmlns:r="http://schemas.openxmlformats.org/officeDocument/2006/relationships" name="Sources" sheetId="14" state="visible" r:id="rId14"/>
  </sheets>
  <definedNames>
    <definedName name="_xlnm._FilterDatabase" localSheetId="1" hidden="1">'Calendar'!$A$1:$AE$122</definedName>
  </definedNames>
  <calcPr calcId="124519" fullCalcOnLoad="1"/>
</workbook>
</file>

<file path=xl/styles.xml><?xml version="1.0" encoding="utf-8"?>
<styleSheet xmlns="http://schemas.openxmlformats.org/spreadsheetml/2006/main">
  <numFmts count="3">
    <numFmt numFmtId="164" formatCode="yyyy-mm-dd"/>
    <numFmt numFmtId="165" formatCode="dd mmm"/>
    <numFmt numFmtId="166" formatCode="0.0%"/>
  </numFmts>
  <fonts count="15">
    <font>
      <name val="Calibri"/>
      <family val="2"/>
      <color theme="1"/>
      <sz val="11"/>
      <scheme val="minor"/>
    </font>
    <font>
      <name val="Arial"/>
      <b val="1"/>
      <color rgb="001E352D"/>
      <sz val="16"/>
    </font>
    <font>
      <name val="Arial"/>
      <i val="1"/>
      <color rgb="005D7A6E"/>
      <sz val="10"/>
    </font>
    <font>
      <name val="Arial"/>
      <b val="1"/>
      <color rgb="001E352D"/>
      <sz val="11"/>
    </font>
    <font>
      <name val="Arial"/>
      <sz val="10"/>
    </font>
    <font>
      <name val="Arial"/>
      <b val="1"/>
      <color rgb="00FFFFFF"/>
      <sz val="10"/>
    </font>
    <font>
      <name val="Arial"/>
      <b val="1"/>
      <sz val="10"/>
    </font>
    <font>
      <name val="Arial"/>
      <i val="1"/>
      <color rgb="005D7A6E"/>
      <sz val="9"/>
    </font>
    <font>
      <name val="Arial"/>
      <sz val="9"/>
    </font>
    <font>
      <name val="Arial"/>
      <b val="1"/>
      <sz val="9"/>
    </font>
    <font>
      <name val="Arial"/>
      <b val="1"/>
      <color rgb="00A3342B"/>
      <sz val="9"/>
    </font>
    <font>
      <name val="Arial"/>
      <sz val="8"/>
    </font>
    <font>
      <name val="Arial"/>
      <b val="1"/>
      <color rgb="001E352D"/>
    </font>
    <font>
      <name val="Arial"/>
      <b val="1"/>
      <color rgb="00A3342B"/>
    </font>
    <font>
      <name val="Arial"/>
      <color rgb="001F5FAD"/>
      <sz val="10"/>
      <u val="single"/>
    </font>
  </fonts>
  <fills count="10">
    <fill>
      <patternFill/>
    </fill>
    <fill>
      <patternFill patternType="gray125"/>
    </fill>
    <fill>
      <patternFill patternType="solid">
        <fgColor rgb="001E352D"/>
      </patternFill>
    </fill>
    <fill>
      <patternFill patternType="solid">
        <fgColor rgb="00F3E1EC"/>
      </patternFill>
    </fill>
    <fill>
      <patternFill patternType="solid">
        <fgColor rgb="00FFF6D6"/>
      </patternFill>
    </fill>
    <fill>
      <patternFill patternType="solid">
        <fgColor rgb="00DDEFF0"/>
      </patternFill>
    </fill>
    <fill>
      <patternFill patternType="solid">
        <fgColor rgb="00E6E6E6"/>
      </patternFill>
    </fill>
    <fill>
      <patternFill patternType="solid">
        <fgColor rgb="00DCE7F5"/>
      </patternFill>
    </fill>
    <fill>
      <patternFill patternType="solid">
        <fgColor rgb="00F6F2EC"/>
      </patternFill>
    </fill>
    <fill>
      <patternFill patternType="solid">
        <fgColor rgb="00FBEFD9"/>
      </patternFill>
    </fill>
  </fills>
  <borders count="2">
    <border>
      <left/>
      <right/>
      <top/>
      <bottom/>
      <diagonal/>
    </border>
    <border>
      <left style="thin">
        <color rgb="00D8CFC1"/>
      </left>
      <right style="thin">
        <color rgb="00D8CFC1"/>
      </right>
      <top style="thin">
        <color rgb="00D8CFC1"/>
      </top>
      <bottom style="thin">
        <color rgb="00D8CFC1"/>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6" fillId="0" borderId="0" pivotButton="0" quotePrefix="0" xfId="0"/>
    <xf numFmtId="0" fontId="6" fillId="0" borderId="0" applyAlignment="1" pivotButton="0" quotePrefix="0" xfId="0">
      <alignment horizontal="left"/>
    </xf>
    <xf numFmtId="9" fontId="6" fillId="0" borderId="0" applyAlignment="1" pivotButton="0" quotePrefix="0" xfId="0">
      <alignment horizontal="left"/>
    </xf>
    <xf numFmtId="0" fontId="7" fillId="0" borderId="0" pivotButton="0" quotePrefix="0" xfId="0"/>
    <xf numFmtId="0" fontId="8" fillId="3" borderId="1" applyAlignment="1" pivotButton="0" quotePrefix="0" xfId="0">
      <alignment vertical="top" wrapText="1"/>
    </xf>
    <xf numFmtId="165" fontId="8" fillId="3"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8" fillId="0" borderId="1" applyAlignment="1" pivotButton="0" quotePrefix="0" xfId="0">
      <alignment horizontal="right" vertical="top" wrapText="1" readingOrder="2"/>
    </xf>
    <xf numFmtId="0" fontId="8" fillId="4" borderId="1" applyAlignment="1" pivotButton="0" quotePrefix="0" xfId="0">
      <alignment vertical="top" wrapText="1"/>
    </xf>
    <xf numFmtId="166" fontId="8" fillId="0" borderId="1" applyAlignment="1" pivotButton="0" quotePrefix="0" xfId="0">
      <alignment vertical="top" wrapText="1"/>
    </xf>
    <xf numFmtId="0" fontId="8" fillId="5" borderId="1" applyAlignment="1" pivotButton="0" quotePrefix="0" xfId="0">
      <alignment vertical="top" wrapText="1"/>
    </xf>
    <xf numFmtId="165" fontId="8" fillId="5" borderId="1" applyAlignment="1" pivotButton="0" quotePrefix="0" xfId="0">
      <alignment vertical="top" wrapText="1"/>
    </xf>
    <xf numFmtId="0" fontId="8" fillId="6" borderId="1" applyAlignment="1" pivotButton="0" quotePrefix="0" xfId="0">
      <alignment vertical="top" wrapText="1"/>
    </xf>
    <xf numFmtId="165" fontId="8" fillId="6" borderId="1" applyAlignment="1" pivotButton="0" quotePrefix="0" xfId="0">
      <alignment vertical="top" wrapText="1"/>
    </xf>
    <xf numFmtId="0" fontId="8" fillId="7" borderId="1" applyAlignment="1" pivotButton="0" quotePrefix="0" xfId="0">
      <alignment vertical="top" wrapText="1"/>
    </xf>
    <xf numFmtId="165" fontId="8" fillId="7" borderId="1" applyAlignment="1" pivotButton="0" quotePrefix="0" xfId="0">
      <alignment vertical="top" wrapText="1"/>
    </xf>
    <xf numFmtId="0" fontId="10" fillId="0" borderId="1" applyAlignment="1" pivotButton="0" quotePrefix="0" xfId="0">
      <alignment vertical="top" wrapText="1"/>
    </xf>
    <xf numFmtId="0" fontId="4" fillId="0" borderId="1" pivotButton="0" quotePrefix="0" xfId="0"/>
    <xf numFmtId="9" fontId="4" fillId="0" borderId="0" pivotButton="0" quotePrefix="0" xfId="0"/>
    <xf numFmtId="0" fontId="11" fillId="0" borderId="1" applyAlignment="1" pivotButton="0" quotePrefix="0" xfId="0">
      <alignment vertical="top" wrapText="1"/>
    </xf>
    <xf numFmtId="0" fontId="11" fillId="8" borderId="1" applyAlignment="1" pivotButton="0" quotePrefix="0" xfId="0">
      <alignment vertical="top" wrapText="1"/>
    </xf>
    <xf numFmtId="0" fontId="11" fillId="9" borderId="1" applyAlignment="1" pivotButton="0" quotePrefix="0" xfId="0">
      <alignment vertical="top" wrapText="1"/>
    </xf>
    <xf numFmtId="0" fontId="4" fillId="0" borderId="1" applyAlignment="1" pivotButton="0" quotePrefix="0" xfId="0">
      <alignment vertical="top" wrapText="1"/>
    </xf>
    <xf numFmtId="0" fontId="12" fillId="0" borderId="0" pivotButton="0" quotePrefix="0" xfId="0"/>
    <xf numFmtId="0" fontId="4" fillId="0" borderId="1" applyAlignment="1" pivotButton="0" quotePrefix="0" xfId="0">
      <alignment horizontal="right" vertical="top" wrapText="1" readingOrder="2"/>
    </xf>
    <xf numFmtId="0" fontId="13" fillId="0" borderId="0" pivotButton="0" quotePrefix="0" xfId="0"/>
    <xf numFmtId="3" fontId="4" fillId="0" borderId="1" pivotButton="0" quotePrefix="0" xfId="0"/>
    <xf numFmtId="166" fontId="4" fillId="0" borderId="1" pivotButton="0" quotePrefix="0" xfId="0"/>
    <xf numFmtId="0" fontId="14" fillId="0" borderId="0" pivotButton="0" quotePrefix="0" xfId="0"/>
  </cellXfs>
  <cellStyles count="1">
    <cellStyle name="Normal" xfId="0" builtinId="0" hidden="0"/>
  </cellStyles>
  <dxfs count="3">
    <dxf>
      <fill>
        <patternFill patternType="solid">
          <fgColor rgb="00D6EAD8"/>
        </patternFill>
      </fill>
    </dxf>
    <dxf>
      <fill>
        <patternFill patternType="solid">
          <fgColor rgb="00F4D6D2"/>
        </patternFill>
      </fill>
    </dxf>
    <dxf>
      <fill>
        <patternFill patternType="solid">
          <fgColor rgb="00EFE9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4.xml.rels><Relationships xmlns="http://schemas.openxmlformats.org/package/2006/relationships"><Relationship Type="http://schemas.openxmlformats.org/officeDocument/2006/relationships/hyperlink" Target="https://datareportal.com/reports/digital-2026-saudi-arabia" TargetMode="External" Id="rId1"/><Relationship Type="http://schemas.openxmlformats.org/officeDocument/2006/relationships/hyperlink" Target="https://www.cst.gov.sa/en/media-center/news/N2026071901" TargetMode="External" Id="rId2"/><Relationship Type="http://schemas.openxmlformats.org/officeDocument/2006/relationships/hyperlink" Target="https://www.agbi.com/analysis/media/2026/02/gulfs-love-for-arabic-content-shields-local-tiktok" TargetMode="External" Id="rId3"/><Relationship Type="http://schemas.openxmlformats.org/officeDocument/2006/relationships/hyperlink" Target="https://www.socialmediatoday.com/news/instagram-shares-algorithm-insights-2025/738034/" TargetMode="External" Id="rId4"/><Relationship Type="http://schemas.openxmlformats.org/officeDocument/2006/relationships/hyperlink" Target="https://tubefilter.com/2026/04/30/instagram-removes-algorithm-recommendations-repost-content-aggregator" TargetMode="External" Id="rId5"/><Relationship Type="http://schemas.openxmlformats.org/officeDocument/2006/relationships/hyperlink" Target="https://www.engadget.com/social-media/instagram-swoops-in-with-3-minute-reels-and-rectangular-profile-grids-as-the-tiktok-ban-gets-real-201316339.html" TargetMode="External" Id="rId6"/><Relationship Type="http://schemas.openxmlformats.org/officeDocument/2006/relationships/hyperlink" Target="https://inmagic.ai/how-many-hashtags-on-instagram/" TargetMode="External" Id="rId7"/><Relationship Type="http://schemas.openxmlformats.org/officeDocument/2006/relationships/hyperlink" Target="https://buffer.com/resources/data-best-content-format-social-media/" TargetMode="External" Id="rId8"/><Relationship Type="http://schemas.openxmlformats.org/officeDocument/2006/relationships/hyperlink" Target="https://buffer.com/resources/how-often-to-post-on-instagram/" TargetMode="External" Id="rId9"/><Relationship Type="http://schemas.openxmlformats.org/officeDocument/2006/relationships/hyperlink" Target="https://www.socialinsider.io/social-media-benchmarks" TargetMode="External" Id="rId10"/><Relationship Type="http://schemas.openxmlformats.org/officeDocument/2006/relationships/hyperlink" Target="https://www.socialinsider.io/blog/twitter-benchmarks/" TargetMode="External" Id="rId11"/><Relationship Type="http://schemas.openxmlformats.org/officeDocument/2006/relationships/hyperlink" Target="https://www.socialmediatoday.com/news/report-shows-document-posts-on-linkedin-see-more-engagement/816551/" TargetMode="External" Id="rId12"/><Relationship Type="http://schemas.openxmlformats.org/officeDocument/2006/relationships/hyperlink" Target="https://www.dashsocial.com/social-media-benchmarks/travel-industry" TargetMode="External" Id="rId13"/><Relationship Type="http://schemas.openxmlformats.org/officeDocument/2006/relationships/hyperlink" Target="https://www.mediapost.com/publications/article/408371/tiktok-limits-hashtags-as-algorithms-become-more-s.html" TargetMode="External" Id="rId14"/><Relationship Type="http://schemas.openxmlformats.org/officeDocument/2006/relationships/hyperlink" Target="https://www.netinfluencer.com/tiktok-longer-videos-outperform-short-form-content-study-reveals/" TargetMode="External" Id="rId15"/><Relationship Type="http://schemas.openxmlformats.org/officeDocument/2006/relationships/hyperlink" Target="https://venturebeat.com/data/x-open-sources-its-algorithm-5-ways-businesses-can-benefit" TargetMode="External" Id="rId16"/><Relationship Type="http://schemas.openxmlformats.org/officeDocument/2006/relationships/hyperlink" Target="https://news.linkedin.com/2026/ImprovingTheFeed" TargetMode="External" Id="rId17"/><Relationship Type="http://schemas.openxmlformats.org/officeDocument/2006/relationships/hyperlink" Target="https://communicateonline.me/news/tiktoks-2026-forecast-flags-authenticity-emotional-value-as-key-to-middle-east-brand-growth/" TargetMode="External" Id="rId18"/><Relationship Type="http://schemas.openxmlformats.org/officeDocument/2006/relationships/hyperlink" Target="https://saudipedia.com/en/what-is-the-mawthooq-license" TargetMode="External" Id="rId19"/><Relationship Type="http://schemas.openxmlformats.org/officeDocument/2006/relationships/hyperlink" Target="https://onemileatatime.com/news/saudi-arabia-social-media-rules-ban-flaunting-luxury-showing-skin/" TargetMode="External" Id="rId20"/><Relationship Type="http://schemas.openxmlformats.org/officeDocument/2006/relationships/hyperlink" Target="https://timetopost.co/best-time-to-post/tiktok/saudi-arabia/" TargetMode="External" Id="rId21"/><Relationship Type="http://schemas.openxmlformats.org/officeDocument/2006/relationships/hyperlink" Target="https://www.warc.com/en/article/almosafer%3A-stories-of-mecca-ae845e3a06434a00af75ca9276b88141" TargetMode="External" Id="rId22"/><Relationship Type="http://schemas.openxmlformats.org/officeDocument/2006/relationships/hyperlink" Target="https://communicateonline.me/news/saudia-wins-three-cannes-lions-awards-for-travel-pilgrim-initiatives/" TargetMode="External" Id="rId23"/><Relationship Type="http://schemas.openxmlformats.org/officeDocument/2006/relationships/hyperlink" Target="https://www.flynas.com/en/media-center/news-updates/people-lens/" TargetMode="External" Id="rId24"/><Relationship Type="http://schemas.openxmlformats.org/officeDocument/2006/relationships/hyperlink" Target="https://campaignme.com/we-are-building-the-brand-from-a-blank-sheet-of-paper/" TargetMode="External" Id="rId25"/><Relationship Type="http://schemas.openxmlformats.org/officeDocument/2006/relationships/hyperlink" Target="https://ads.tiktok.com/business/en/inspiration/visit-saudi-branded-search-hub-case-study" TargetMode="External" Id="rId26"/><Relationship Type="http://schemas.openxmlformats.org/officeDocument/2006/relationships/hyperlink" Target="https://shortyawards.com/17th/mdlbeast-soundstorm-2024" TargetMode="External" Id="rId27"/><Relationship Type="http://schemas.openxmlformats.org/officeDocument/2006/relationships/hyperlink" Target="https://hypeauditor.com/instagram/almosafertravel_sa/" TargetMode="External" Id="rId28"/><Relationship Type="http://schemas.openxmlformats.org/officeDocument/2006/relationships/hyperlink" Target="https://www.thenationalnews.com/travel/2026/10/18/riyadh-airport-reopens-which-airlines-are-still-cancelling-flights-to-saudi-arabia/" TargetMode="External" Id="rId29"/><Relationship Type="http://schemas.openxmlformats.org/officeDocument/2006/relationships/hyperlink" Target="https://www.spa.gov.sa/en/N2686677" TargetMode="External" Id="rId30"/><Relationship Type="http://schemas.openxmlformats.org/officeDocument/2006/relationships/hyperlink" Target="https://www.arabnews.pk/saudi-arabia/alula-skies-festival-returns-in-november-with-balloons-stargazing-and-night-sky-events-3002785" TargetMode="External" Id="rId31"/><Relationship Type="http://schemas.openxmlformats.org/officeDocument/2006/relationships/hyperlink" Target="https://corporate.wwe.com/about/news/2026/09-01-2026" TargetMode="External" Id="rId32"/><Relationship Type="http://schemas.openxmlformats.org/officeDocument/2006/relationships/hyperlink" Target="https://cityscapeglobal.com/welcome-to-cityscape-global-2026" TargetMode="External" Id="rId33"/><Relationship Type="http://schemas.openxmlformats.org/officeDocument/2006/relationships/hyperlink" Target="https://mdares.ai/sa-en/calendar/print" TargetMode="External" Id="rId34"/><Relationship Type="http://schemas.openxmlformats.org/officeDocument/2006/relationships/hyperlink" Target="https://salla.com/en/tools/seasons-calendar/seasons/white-friday-2026" TargetMode="External" Id="rId35"/><Relationship Type="http://schemas.openxmlformats.org/officeDocument/2006/relationships/hyperlink" Target="https://islamic.app/hijri/rajab-sacred-month/2026" TargetMode="External" Id="rId36"/><Relationship Type="http://schemas.openxmlformats.org/officeDocument/2006/relationships/hyperlink" Target="https://www.thenationalnews.com/news/uae/2026/09/09/ramadan-2027-dates-eid-al-fitr-holiday/" TargetMode="External" Id="rId37"/><Relationship Type="http://schemas.openxmlformats.org/officeDocument/2006/relationships/hyperlink" Target="https://www.fiaformulae.com/en/news/1074658" TargetMode="External" Id="rId38"/><Relationship Type="http://schemas.openxmlformats.org/officeDocument/2006/relationships/hyperlink" Target="https://www.listmag.com/en/see-do/events-entertainment/unmissable-events-already-confirmed-for-riyadh-season-3741" TargetMode="External" Id="rId39"/><Relationship Type="http://schemas.openxmlformats.org/officeDocument/2006/relationships/hyperlink" Target="https://www.travelpirates.com/captains-log/european-christmas-market-dates-2026" TargetMode="External" Id="rId40"/><Relationship Type="http://schemas.openxmlformats.org/officeDocument/2006/relationships/hyperlink" Target="https://arab.news/5aeyp" TargetMode="External" Id="rId41"/><Relationship Type="http://schemas.openxmlformats.org/officeDocument/2006/relationships/hyperlink" Target="https://almatar.com/blog/?p=24141" TargetMode="External" Id="rId42"/><Relationship Type="http://schemas.openxmlformats.org/officeDocument/2006/relationships/hyperlink" Target="https://www.listmag.com/en/travel-stay/saudi-arabia-and-russia-launch-mutual-visa-free-travel-agreement-4296" TargetMode="External" Id="rId43"/><Relationship Type="http://schemas.openxmlformats.org/officeDocument/2006/relationships/hyperlink" Target="https://deadline.com/2026/09/saudi-arabia-red-sea-film-festival-cancels-2026-edition-1237109142/" TargetMode="External" Id="rId44"/><Relationship Type="http://schemas.openxmlformats.org/officeDocument/2006/relationships/hyperlink" Target="https://djmag.com/news/soundstorm-festival-cancels-2026-edition" TargetMode="External" Id="rId45"/><Relationship Type="http://schemas.openxmlformats.org/officeDocument/2006/relationships/hyperlink" Target="https://www.zawya.com/en/business/how-travel-disruptions-reshaped-middle-easts-travel-map-in-2026-586333" TargetMode="External" Id="rId46"/><Relationship Type="http://schemas.openxmlformats.org/officeDocument/2006/relationships/hyperlink" Target="https://www.zawya.com/en/press-release/research-studies/2026-travel-trends-saudi-travellers-prove-resilient-as-flexibility-convenience-and-ai-reshape-how-they-book-481587" TargetMode="External" Id="rId47"/><Relationship Type="http://schemas.openxmlformats.org/officeDocument/2006/relationships/hyperlink" Target="https://www.gdnonline.com/Details/1406353/Egypt-retains-top-spot-as-Wego-tracks-major-shifts-in-Mideast-travel" TargetMode="External" Id="rId48"/><Relationship Type="http://schemas.openxmlformats.org/officeDocument/2006/relationships/hyperlink" Target="https://www.gdnonline.com/Details/1406013/Saudi-outbound-travel-market-could-exceed-$60bn-by-2030" TargetMode="External" Id="rId49"/><Relationship Type="http://schemas.openxmlformats.org/officeDocument/2006/relationships/hyperlink" Target="https://blog.wego.com/saudia-to-launch-direct-riyadh-tokyo-flights/" TargetMode="External" Id="rId50"/><Relationship Type="http://schemas.openxmlformats.org/officeDocument/2006/relationships/hyperlink" Target="https://mfa.gov.az/en/category/visa/visa-free-countries" TargetMode="External" Id="rId51"/><Relationship Type="http://schemas.openxmlformats.org/officeDocument/2006/relationships/hyperlink" Target="https://connectingtravel.com/news/china-extends-visa-free-access-for-gcc-travellers-until-end-of-2026" TargetMode="External" Id="rId52"/><Relationship Type="http://schemas.openxmlformats.org/officeDocument/2006/relationships/hyperlink" Target="https://www.uefa.com/uefachampionsleague/news/02a8-2174c9e9019d-f909a77bd77a-1000--2026-27-champions-league-all-the-league-phase-fixtures/" TargetMode="External" Id="rId53"/><Relationship Type="http://schemas.openxmlformats.org/officeDocument/2006/relationships/hyperlink" Target="https://rfef.es/en/noticias/The-2027-Spanish-Super-Cup-to-Be-Held-in-Istanbul" TargetMode="External" Id="rId54"/><Relationship Type="http://schemas.openxmlformats.org/officeDocument/2006/relationships/hyperlink" Target="https://api.fia.com/news/fia-and-formula-1-announce-2026-calendar" TargetMode="External" Id="rId55"/><Relationship Type="http://schemas.openxmlformats.org/officeDocument/2006/relationships/hyperlink" Target="https://www.thenationalnews.com/arts-culture/music-stage/2026/08/28/shakira-at-the-pyramids-what-fans-can-expect-from-her-egypt-concert/" TargetMode="External" Id="rId56"/><Relationship Type="http://schemas.openxmlformats.org/officeDocument/2006/relationships/hyperlink" Target="https://www.zawya.com/en/press-release/government-news/citywide-dubai-shopping-festival-returns-with-most-action-packed-season-yet-1650724" TargetMode="External" Id="rId57"/><Relationship Type="http://schemas.openxmlformats.org/officeDocument/2006/relationships/hyperlink" Target="https://www.khaleejtimes.com/uae/dubai-global-village-open-october-14-season-31" TargetMode="External" Id="rId58"/><Relationship Type="http://schemas.openxmlformats.org/officeDocument/2006/relationships/hyperlink" Target="https://www.nippon.com/en/japan-data/h02888/" TargetMode="External" Id="rId59"/><Relationship Type="http://schemas.openxmlformats.org/officeDocument/2006/relationships/hyperlink" Target="https://www.wam.ae/en/article/bhkj9ai-afc-asian-cup-saudi-arabia-2027-dates-venues" TargetMode="External" Id="rId60"/><Relationship Type="http://schemas.openxmlformats.org/officeDocument/2006/relationships/hyperlink" Target="https://www.les3vallees.com/en/live/lifts-and-trails-opening" TargetMode="External" Id="rId61"/><Relationship Type="http://schemas.openxmlformats.org/officeDocument/2006/relationships/hyperlink" Target="https://gulfnews.com/sport/abu-dhabi-qatar-saudi-arabia-2027-formula-one-calendar-announced-1.500676639" TargetMode="External" Id="rId62"/></Relationships>
</file>

<file path=xl/worksheets/sheet1.xml><?xml version="1.0" encoding="utf-8"?>
<worksheet xmlns="http://schemas.openxmlformats.org/spreadsheetml/2006/main">
  <sheetPr>
    <outlinePr summaryBelow="1" summaryRight="1"/>
    <pageSetUpPr/>
  </sheetPr>
  <dimension ref="A1:B40"/>
  <sheetViews>
    <sheetView showGridLines="0" workbookViewId="0">
      <selection activeCell="A1" sqref="A1"/>
    </sheetView>
  </sheetViews>
  <sheetFormatPr baseColWidth="8" defaultRowHeight="15"/>
  <cols>
    <col width="26" customWidth="1" min="1" max="1"/>
    <col width="110" customWidth="1" min="2" max="2"/>
  </cols>
  <sheetData>
    <row r="1">
      <c r="A1" s="1" t="inlineStr">
        <is>
          <t>Mada Trips · Social Media Plan · November 2026</t>
        </is>
      </c>
    </row>
    <row r="2">
      <c r="A2" s="2" t="inlineStr">
        <is>
          <t>Instagram · TikTok · X · LinkedIn. Researched 18 Oct 2026. Times are Riyadh (AST, UTC+3).</t>
        </is>
      </c>
    </row>
    <row r="4">
      <c r="A4" s="3" t="inlineStr">
        <is>
          <t>Situation</t>
        </is>
      </c>
      <c r="B4" s="4" t="inlineStr">
        <is>
          <t>Mada is a new account on every platform. Month one sets up the profiles, the recurring series that make us recognisable, and the habit of posting daily.</t>
        </is>
      </c>
    </row>
    <row r="5">
      <c r="B5" s="4" t="inlineStr">
        <is>
          <t>Riyadh's airport (RUH) was hit by Houthi missiles and drones several times in early-mid October 2026 and reopened on 18 Oct. Several foreign airlines are still suspended into November (Lufthansa to 18 Nov, KLM to 31 Oct, BA limited from 3 Nov). The plan leads with domestic and short-haul trips, Riyadh Season, practical help and calm reassurance. There are no airport jokes and no 'fly now' hype. See the sensitivity protocol.</t>
        </is>
      </c>
    </row>
    <row r="6">
      <c r="B6" s="4" t="inlineStr">
        <is>
          <t>Several big December events were cancelled or moved this season (Red Sea Film Festival postponed to 2027, MDLBEAST Soundstorm 2026 cancelled, Formula E moved from Diriyah to Jeddah, Six Kings Slam moved to 27-30 Dec). Re-check every event date the week it is posted.</t>
        </is>
      </c>
    </row>
    <row r="7">
      <c r="B7" s="4" t="inlineStr">
        <is>
          <t>Saudis travel abroad heavily in winter, and the plan treats that as half the opportunity: about half of all travel posts are global or GCC (Champions League nights, F1 Qatar and Abu Dhabi, Japan nonstop from 17 Nov, Europe's winter markets, ski openings, Lapland, Dubai Shopping Festival, the Super Cup in Istanbul). Gulf airspace closed during the March 2026 Iran war and reopened after the April ceasefire, so re-check Gulf events and airline status before posting.</t>
        </is>
      </c>
    </row>
    <row r="8">
      <c r="B8" s="4" t="inlineStr">
        <is>
          <t>The calendar's biggest commercial moments are the school autumn break (20-28 Nov), White Friday (27 Nov), and Rajab (from ~10 Dec), which opens Umrah planning for Ramadan 1448 (~8 Feb 2027).</t>
        </is>
      </c>
    </row>
    <row r="10">
      <c r="A10" s="3" t="inlineStr">
        <is>
          <t>Objectives</t>
        </is>
      </c>
      <c r="B10" s="4" t="inlineStr">
        <is>
          <t>Go global: Make Mada the name Saudis think of for trips abroad, not just at home: about half of all travel content is global or GCC, built around real events and seasons with dates, visas and flight times.</t>
        </is>
      </c>
    </row>
    <row r="11">
      <c r="B11" s="4" t="inlineStr">
        <is>
          <t>Be found: Rank in TikTok and Instagram search for high-intent Arabic travel and visa terms (تأشيرة شنغن, إجازة الخريف, العلا, باقات عمرة).</t>
        </is>
      </c>
    </row>
    <row r="12">
      <c r="B12" s="4" t="inlineStr">
        <is>
          <t>Be remembered: Make 4-5 named series that people recognise and follow: One Call, Visa in 60, Weekend Radar, Concierge Confessions, Behind the Curtain.</t>
        </is>
      </c>
    </row>
    <row r="13">
      <c r="B13" s="4" t="inlineStr">
        <is>
          <t>Be trusted: Show the people behind the service. No Saudi OTA puts a real advisor on camera, and that is our white space.</t>
        </is>
      </c>
    </row>
    <row r="14">
      <c r="B14" s="4" t="inlineStr">
        <is>
          <t>Convert: Move intent to WhatsApp: every post has one CTA, and every DM gets an answer within the hour during working hours.</t>
        </is>
      </c>
    </row>
    <row r="16">
      <c r="A16" s="3" t="inlineStr">
        <is>
          <t>How to use this file</t>
        </is>
      </c>
      <c r="B16" s="4" t="inlineStr">
        <is>
          <t>Calendar: every post with its hook, poster text (EN/AR), caption (AR/EN), keywords, hashtags, CTA and production direction. Filter by platform, week or pillar.</t>
        </is>
      </c>
    </row>
    <row r="17">
      <c r="B17" s="4" t="inlineStr">
        <is>
          <t>Assign each post with the Owner dropdown (Mehnaz, Bilal, Musa, Abdul Rehman, Usman) and move it along with Status: Idea → Scripted → Shot → Designed → Approved → Scheduled → Posted (or Paused). 'Team board' counts who has what at each stage.</t>
        </is>
      </c>
    </row>
    <row r="18">
      <c r="B18" s="4" t="inlineStr">
        <is>
          <t>After posting, fill the yellow results columns (Reach … Saves). The engagement rate calculates itself, and 'KPIs &amp; tracking' rolls it up by platform.</t>
        </is>
      </c>
    </row>
    <row r="19">
      <c r="B19" s="4" t="inlineStr">
        <is>
          <t>Rows flagged in the Notes column (OFFER, APPROVAL, SENSITIVITY) can't be scheduled without that sign-off.</t>
        </is>
      </c>
    </row>
    <row r="20">
      <c r="B20" s="4" t="inlineStr">
        <is>
          <t>Scope column: Global, GCC, Saudi, Mixed, B2B or All. At least 55% of destination posts are abroad (see the mix below).</t>
        </is>
      </c>
    </row>
    <row r="21">
      <c r="B21" s="4" t="inlineStr">
        <is>
          <t>Month view: the whole month at a glance. Guidelines, Keywords, Competitors and Moments hold the research behind every post.</t>
        </is>
      </c>
    </row>
    <row r="23">
      <c r="A23" s="3" t="inlineStr">
        <is>
          <t>Posts this month</t>
        </is>
      </c>
    </row>
    <row r="24">
      <c r="A24" s="5" t="inlineStr">
        <is>
          <t>Platform</t>
        </is>
      </c>
      <c r="B24" s="5" t="inlineStr">
        <is>
          <t>Posts (counted from Calendar)</t>
        </is>
      </c>
    </row>
    <row r="25">
      <c r="A25" s="6" t="inlineStr">
        <is>
          <t>Instagram</t>
        </is>
      </c>
      <c r="B25" s="7">
        <f>COUNTIF(Calendar!$F:$F,"Instagram")</f>
        <v/>
      </c>
    </row>
    <row r="26">
      <c r="A26" s="6" t="inlineStr">
        <is>
          <t>TikTok</t>
        </is>
      </c>
      <c r="B26" s="7">
        <f>COUNTIF(Calendar!$F:$F,"TikTok")</f>
        <v/>
      </c>
    </row>
    <row r="27">
      <c r="A27" s="6" t="inlineStr">
        <is>
          <t>X</t>
        </is>
      </c>
      <c r="B27" s="7">
        <f>COUNTIF(Calendar!$F:$F,"X")</f>
        <v/>
      </c>
    </row>
    <row r="28">
      <c r="A28" s="6" t="inlineStr">
        <is>
          <t>LinkedIn</t>
        </is>
      </c>
      <c r="B28" s="7">
        <f>COUNTIF(Calendar!$F:$F,"LinkedIn")</f>
        <v/>
      </c>
    </row>
    <row r="29">
      <c r="A29" s="8" t="inlineStr">
        <is>
          <t>Total</t>
        </is>
      </c>
      <c r="B29" s="9">
        <f>SUM(B25:B28)</f>
        <v/>
      </c>
    </row>
    <row r="31">
      <c r="A31" s="3" t="inlineStr">
        <is>
          <t>Where the trips go</t>
        </is>
      </c>
    </row>
    <row r="32">
      <c r="A32" s="5" t="inlineStr">
        <is>
          <t>Scope</t>
        </is>
      </c>
      <c r="B32" s="5" t="inlineStr">
        <is>
          <t>Posts (counted from Calendar)</t>
        </is>
      </c>
    </row>
    <row r="33">
      <c r="A33" s="6" t="inlineStr">
        <is>
          <t>Global</t>
        </is>
      </c>
      <c r="B33" s="7">
        <f>COUNTIF(Calendar!$I:$I,"Global")</f>
        <v/>
      </c>
    </row>
    <row r="34">
      <c r="A34" s="6" t="inlineStr">
        <is>
          <t>GCC</t>
        </is>
      </c>
      <c r="B34" s="7">
        <f>COUNTIF(Calendar!$I:$I,"GCC")</f>
        <v/>
      </c>
    </row>
    <row r="35">
      <c r="A35" s="6" t="inlineStr">
        <is>
          <t>Saudi</t>
        </is>
      </c>
      <c r="B35" s="7">
        <f>COUNTIF(Calendar!$I:$I,"Saudi")</f>
        <v/>
      </c>
    </row>
    <row r="36">
      <c r="A36" s="6" t="inlineStr">
        <is>
          <t>Mixed</t>
        </is>
      </c>
      <c r="B36" s="7">
        <f>COUNTIF(Calendar!$I:$I,"Mixed")</f>
        <v/>
      </c>
    </row>
    <row r="37">
      <c r="A37" s="6" t="inlineStr">
        <is>
          <t>B2B</t>
        </is>
      </c>
      <c r="B37" s="7">
        <f>COUNTIF(Calendar!$I:$I,"B2B")</f>
        <v/>
      </c>
    </row>
    <row r="38">
      <c r="A38" s="6" t="inlineStr">
        <is>
          <t>All</t>
        </is>
      </c>
      <c r="B38" s="7">
        <f>COUNTIF(Calendar!$I:$I,"All")</f>
        <v/>
      </c>
    </row>
    <row r="39">
      <c r="A39" s="8" t="inlineStr">
        <is>
          <t>Global + GCC share of destination posts</t>
        </is>
      </c>
      <c r="B39" s="10">
        <f>IFERROR((B33+B34)/(B33+B34+B35+B36),0)</f>
        <v/>
      </c>
    </row>
    <row r="40">
      <c r="A40" s="11" t="inlineStr">
        <is>
          <t>Scope key: Global = abroad beyond the Gulf · GCC = Gulf neighbours · Saudi = at home · Mixed = home and abroad in one post · B2B = business services · All = brand, offers, service.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124"/>
  <sheetViews>
    <sheetView workbookViewId="0">
      <pane xSplit="11" ySplit="1" topLeftCell="L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11" customWidth="1" min="3" max="3"/>
    <col width="6" customWidth="1" min="4" max="4"/>
    <col width="8" customWidth="1" min="5" max="5"/>
    <col width="10" customWidth="1" min="6" max="6"/>
    <col width="14" customWidth="1" min="7" max="7"/>
    <col width="15" customWidth="1" min="8" max="8"/>
    <col width="9" customWidth="1" min="9" max="9"/>
    <col width="16" customWidth="1" min="10" max="10"/>
    <col width="22" customWidth="1" min="11" max="11"/>
    <col width="30" customWidth="1" min="12" max="12"/>
    <col width="34" customWidth="1" min="13" max="13"/>
    <col width="30" customWidth="1" min="14" max="14"/>
    <col width="30" customWidth="1" min="15" max="15"/>
    <col width="55" customWidth="1" min="16" max="16"/>
    <col width="55" customWidth="1" min="17" max="17"/>
    <col width="28" customWidth="1" min="18" max="18"/>
    <col width="30" customWidth="1" min="19" max="19"/>
    <col width="20" customWidth="1" min="20" max="20"/>
    <col width="55" customWidth="1" min="21" max="21"/>
    <col width="34" customWidth="1" min="22" max="22"/>
    <col width="12" customWidth="1" min="23" max="23"/>
    <col width="11" customWidth="1" min="24" max="24"/>
    <col width="9" customWidth="1" min="25" max="25"/>
    <col width="9" customWidth="1" min="26" max="26"/>
    <col width="8" customWidth="1" min="27" max="27"/>
    <col width="9" customWidth="1" min="28" max="28"/>
    <col width="8" customWidth="1" min="29" max="29"/>
    <col width="8" customWidth="1" min="30" max="30"/>
    <col width="9" customWidth="1" min="31" max="31"/>
  </cols>
  <sheetData>
    <row r="1" ht="34" customHeight="1">
      <c r="A1" s="5" t="inlineStr">
        <is>
          <t>#</t>
        </is>
      </c>
      <c r="B1" s="5" t="inlineStr">
        <is>
          <t>Post ID</t>
        </is>
      </c>
      <c r="C1" s="5" t="inlineStr">
        <is>
          <t>Date</t>
        </is>
      </c>
      <c r="D1" s="5" t="inlineStr">
        <is>
          <t>Day</t>
        </is>
      </c>
      <c r="E1" s="5" t="inlineStr">
        <is>
          <t>Time (AST)</t>
        </is>
      </c>
      <c r="F1" s="5" t="inlineStr">
        <is>
          <t>Platform</t>
        </is>
      </c>
      <c r="G1" s="5" t="inlineStr">
        <is>
          <t>Format</t>
        </is>
      </c>
      <c r="H1" s="5" t="inlineStr">
        <is>
          <t>Pillar</t>
        </is>
      </c>
      <c r="I1" s="5" t="inlineStr">
        <is>
          <t>Scope</t>
        </is>
      </c>
      <c r="J1" s="5" t="inlineStr">
        <is>
          <t>Series</t>
        </is>
      </c>
      <c r="K1" s="5" t="inlineStr">
        <is>
          <t>Moment / trend</t>
        </is>
      </c>
      <c r="L1" s="5" t="inlineStr">
        <is>
          <t>Working title</t>
        </is>
      </c>
      <c r="M1" s="5" t="inlineStr">
        <is>
          <t>Hook (first 1-3s / first line)</t>
        </is>
      </c>
      <c r="N1" s="5" t="inlineStr">
        <is>
          <t>On-poster / on-screen text (EN)</t>
        </is>
      </c>
      <c r="O1" s="5" t="inlineStr">
        <is>
          <t>On-poster / on-screen text (AR)</t>
        </is>
      </c>
      <c r="P1" s="5" t="inlineStr">
        <is>
          <t>Caption / copy (AR)</t>
        </is>
      </c>
      <c r="Q1" s="5" t="inlineStr">
        <is>
          <t>Caption / copy (EN)</t>
        </is>
      </c>
      <c r="R1" s="5" t="inlineStr">
        <is>
          <t>Search keywords</t>
        </is>
      </c>
      <c r="S1" s="5" t="inlineStr">
        <is>
          <t>Hashtags (max 5)</t>
        </is>
      </c>
      <c r="T1" s="5" t="inlineStr">
        <is>
          <t>CTA</t>
        </is>
      </c>
      <c r="U1" s="5" t="inlineStr">
        <is>
          <t>Visual / audio / production direction</t>
        </is>
      </c>
      <c r="V1" s="5" t="inlineStr">
        <is>
          <t>Notes · approvals · risks</t>
        </is>
      </c>
      <c r="W1" s="5" t="inlineStr">
        <is>
          <t>Owner</t>
        </is>
      </c>
      <c r="X1" s="5" t="inlineStr">
        <is>
          <t>Status</t>
        </is>
      </c>
      <c r="Y1" s="5" t="inlineStr">
        <is>
          <t>Reach</t>
        </is>
      </c>
      <c r="Z1" s="5" t="inlineStr">
        <is>
          <t>Views</t>
        </is>
      </c>
      <c r="AA1" s="5" t="inlineStr">
        <is>
          <t>Likes</t>
        </is>
      </c>
      <c r="AB1" s="5" t="inlineStr">
        <is>
          <t>Comments</t>
        </is>
      </c>
      <c r="AC1" s="5" t="inlineStr">
        <is>
          <t>Shares</t>
        </is>
      </c>
      <c r="AD1" s="5" t="inlineStr">
        <is>
          <t>Saves</t>
        </is>
      </c>
      <c r="AE1" s="5" t="inlineStr">
        <is>
          <t>Eng. rate</t>
        </is>
      </c>
    </row>
    <row r="2">
      <c r="A2" s="12" t="n">
        <v>1</v>
      </c>
      <c r="B2" s="12" t="inlineStr">
        <is>
          <t>01-IG-2030</t>
        </is>
      </c>
      <c r="C2" s="13" t="n">
        <v>46327</v>
      </c>
      <c r="D2" s="12" t="inlineStr">
        <is>
          <t>Sun</t>
        </is>
      </c>
      <c r="E2" s="12" t="inlineStr">
        <is>
          <t>20:30</t>
        </is>
      </c>
      <c r="F2" s="12" t="inlineStr">
        <is>
          <t>Instagram</t>
        </is>
      </c>
      <c r="G2" s="14" t="inlineStr">
        <is>
          <t>Reel 30s</t>
        </is>
      </c>
      <c r="H2" s="14" t="inlineStr">
        <is>
          <t>Moments &amp; Offers</t>
        </is>
      </c>
      <c r="I2" s="14" t="inlineStr">
        <is>
          <t>All</t>
        </is>
      </c>
      <c r="J2" s="14" t="inlineStr"/>
      <c r="K2" s="14" t="inlineStr">
        <is>
          <t>Brand launch</t>
        </is>
      </c>
      <c r="L2" s="15" t="inlineStr">
        <is>
          <t>Launch film: Every horizon, within reach</t>
        </is>
      </c>
      <c r="M2" s="16" t="inlineStr">
        <is>
          <t>Black screen, one word in gold: مدى / Reach</t>
        </is>
      </c>
      <c r="N2" s="14" t="inlineStr">
        <is>
          <t>Every horizon, within reach.</t>
        </is>
      </c>
      <c r="O2" s="16" t="inlineStr">
        <is>
          <t>كل أفق، في متناولك.</t>
        </is>
      </c>
      <c r="P2" s="16" t="inlineStr">
        <is>
          <t>مادا يعني المدى.
ومن اليوم، رحلتك وفعاليتك وفريقك… كلها بمكالمة وحدة.
تذاكر، فنادق، تأشيرات، فعاليات، كوادر وتقنية — من الرياض لكل أفق.
تابعنا، القادم أجمل 🌙</t>
        </is>
      </c>
      <c r="Q2" s="14" t="inlineStr">
        <is>
          <t>Mada is Arabic for reach.
Flights, stays, visas, events, crews and tech. From Riyadh to every horizon.
One call. Everything moves.</t>
        </is>
      </c>
      <c r="R2" s="14" t="inlineStr">
        <is>
          <t>وكالة سفر الرياض, Riyadh travel agency, مادا للسفر</t>
        </is>
      </c>
      <c r="S2" s="16" t="inlineStr">
        <is>
          <t>#مادا #MadaTrips #الرياض #سفر #RiyadhTravel</t>
        </is>
      </c>
      <c r="T2" s="14" t="inlineStr">
        <is>
          <t>Follow + tap the WhatsApp button in bio</t>
        </is>
      </c>
      <c r="U2" s="14" t="inlineStr">
        <is>
          <t>Cinematic 6-scene cut, 4-5s each: dunes at sunrise → boarding gate → hotel door opening to a ready room → stage lights warming up → concierge answering a phone at 03:00 → logo resolve. Calm Najdi VO (male or female). Warm sand/green grade. Ambient oud with a slow rise. Burned-in Arabic subtitles + English.</t>
        </is>
      </c>
      <c r="V2" s="14" t="inlineStr">
        <is>
          <t>PIN to profile. Shoot original footage only (Instagram stops recommending reposted clips since Apr 2026).</t>
        </is>
      </c>
      <c r="W2" s="14" t="inlineStr"/>
      <c r="X2" s="14" t="inlineStr">
        <is>
          <t>Scripted</t>
        </is>
      </c>
      <c r="Y2" s="17" t="n"/>
      <c r="Z2" s="17" t="n"/>
      <c r="AA2" s="17" t="n"/>
      <c r="AB2" s="17" t="n"/>
      <c r="AC2" s="17" t="n"/>
      <c r="AD2" s="17" t="n"/>
      <c r="AE2" s="18">
        <f>IF(OR(Y2="",Y2=0),"",(AA2+AB2+AC2+AD2)/Y2)</f>
        <v/>
      </c>
    </row>
    <row r="3">
      <c r="A3" s="19" t="n">
        <v>2</v>
      </c>
      <c r="B3" s="19" t="inlineStr">
        <is>
          <t>01-TT-2100</t>
        </is>
      </c>
      <c r="C3" s="20" t="n">
        <v>46327</v>
      </c>
      <c r="D3" s="19" t="inlineStr">
        <is>
          <t>Sun</t>
        </is>
      </c>
      <c r="E3" s="19" t="inlineStr">
        <is>
          <t>21:00</t>
        </is>
      </c>
      <c r="F3" s="19" t="inlineStr">
        <is>
          <t>TikTok</t>
        </is>
      </c>
      <c r="G3" s="14" t="inlineStr">
        <is>
          <t>Video 20s</t>
        </is>
      </c>
      <c r="H3" s="14" t="inlineStr">
        <is>
          <t>One Call</t>
        </is>
      </c>
      <c r="I3" s="14" t="inlineStr">
        <is>
          <t>All</t>
        </is>
      </c>
      <c r="J3" s="14" t="inlineStr"/>
      <c r="K3" s="14" t="inlineStr">
        <is>
          <t>Brand launch</t>
        </is>
      </c>
      <c r="L3" s="15" t="inlineStr">
        <is>
          <t>POV: you said it once and it just happened</t>
        </is>
      </c>
      <c r="M3" s="16" t="inlineStr">
        <is>
          <t>On-screen: لما تقول طلبك مرة وحدة… 👀</t>
        </is>
      </c>
      <c r="N3" s="14" t="inlineStr">
        <is>
          <t>You said it once. We did the rest.</t>
        </is>
      </c>
      <c r="O3" s="16" t="inlineStr">
        <is>
          <t>قلتها مرة… والباقي علينا</t>
        </is>
      </c>
      <c r="P3" s="16" t="inlineStr">
        <is>
          <t>أول فيديو لنا 👋 احنا مادا من الرياض.
قل طلبك مرة، والباقي علينا ✈️🏨
وش أول وجهة نخطط لها لك؟ اكتبها بالتعليقات 👇</t>
        </is>
      </c>
      <c r="Q3" s="14" t="inlineStr">
        <is>
          <t>Our first video. We're Mada from Riyadh. Say it once and we handle the rest. Where should we plan first? Comment below.</t>
        </is>
      </c>
      <c r="R3" s="14" t="inlineStr">
        <is>
          <t>تخطيط رحلة, رحلة العلا, travel planner Riyadh</t>
        </is>
      </c>
      <c r="S3" s="16" t="inlineStr">
        <is>
          <t>#مادا #سفر #العلا #السعودية #tiktoksaudi</t>
        </is>
      </c>
      <c r="T3" s="14" t="inlineStr">
        <is>
          <t>Comment your dream destination</t>
        </is>
      </c>
      <c r="U3" s="14" t="inlineStr">
        <is>
          <t>Open on a real-sounding voice note bubble: 'أبي آخذ أهلي العلا الويكند الجاي'. Jump cuts in sync with a trending beat: laptop, WhatsApp confirmations popping (flight ✓ hotel ✓ transfer ✓), then the family (from behind) walking into Hegra at golden hour. 9:16, captions on.</t>
        </is>
      </c>
      <c r="V3" s="14" t="inlineStr">
        <is>
          <t>Reply to every comment with a video reply over the following days. That reply series feeds week 2.</t>
        </is>
      </c>
      <c r="W3" s="14" t="inlineStr"/>
      <c r="X3" s="14" t="inlineStr">
        <is>
          <t>Scripted</t>
        </is>
      </c>
      <c r="Y3" s="17" t="n"/>
      <c r="Z3" s="17" t="n"/>
      <c r="AA3" s="17" t="n"/>
      <c r="AB3" s="17" t="n"/>
      <c r="AC3" s="17" t="n"/>
      <c r="AD3" s="17" t="n"/>
      <c r="AE3" s="18">
        <f>IF(OR(Y3="",Y3=0),"",(AA3+AB3+AC3+AD3)/Y3)</f>
        <v/>
      </c>
    </row>
    <row r="4">
      <c r="A4" s="21" t="n">
        <v>3</v>
      </c>
      <c r="B4" s="21" t="inlineStr">
        <is>
          <t>01-X-1300</t>
        </is>
      </c>
      <c r="C4" s="22" t="n">
        <v>46327</v>
      </c>
      <c r="D4" s="21" t="inlineStr">
        <is>
          <t>Sun</t>
        </is>
      </c>
      <c r="E4" s="21" t="inlineStr">
        <is>
          <t>13:00</t>
        </is>
      </c>
      <c r="F4" s="21" t="inlineStr">
        <is>
          <t>X</t>
        </is>
      </c>
      <c r="G4" s="14" t="inlineStr">
        <is>
          <t>Post (pinned)</t>
        </is>
      </c>
      <c r="H4" s="14" t="inlineStr">
        <is>
          <t>Moments &amp; Offers</t>
        </is>
      </c>
      <c r="I4" s="14" t="inlineStr">
        <is>
          <t>All</t>
        </is>
      </c>
      <c r="J4" s="14" t="inlineStr"/>
      <c r="K4" s="14" t="inlineStr">
        <is>
          <t>Brand launch</t>
        </is>
      </c>
      <c r="L4" s="15" t="inlineStr">
        <is>
          <t>Launch post</t>
        </is>
      </c>
      <c r="M4" s="16" t="inlineStr">
        <is>
          <t>مادا يعني المدى.</t>
        </is>
      </c>
      <c r="N4" s="14" t="inlineStr"/>
      <c r="O4" s="14" t="inlineStr"/>
      <c r="P4" s="16" t="inlineStr">
        <is>
          <t>مادا يعني المدى.
من اليوم، كل أفق في متناولك: سفر، تذاكر، فنادق، تأشيرات، فعاليات، كوادر وتقنية.
فريق واحد يرد عليك حتى الساعة ٣ الفجر.
وش الوجهة اللي تحلم فيها هالشتاء؟ 👇</t>
        </is>
      </c>
      <c r="Q4" s="14" t="inlineStr">
        <is>
          <t>Mada means reach. From today every horizon is within reach: travel, tickets, hotels, visas, events, crews and tech. One team that picks up even at 3 a.m. Where are you dreaming of this winter?</t>
        </is>
      </c>
      <c r="R4" s="14" t="inlineStr">
        <is>
          <t>وكالة سفر, سفر الشتاء</t>
        </is>
      </c>
      <c r="S4" s="16" t="inlineStr">
        <is>
          <t>#مادا</t>
        </is>
      </c>
      <c r="T4" s="14" t="inlineStr">
        <is>
          <t>Reply with a destination</t>
        </is>
      </c>
      <c r="U4" s="14" t="inlineStr">
        <is>
          <t>Attach the launch film's 15s cut (native upload, not a link).</t>
        </is>
      </c>
      <c r="V4" s="14" t="inlineStr">
        <is>
          <t>Pin. Reply to every answer within the hour, since replies feed ranking.</t>
        </is>
      </c>
      <c r="W4" s="14" t="inlineStr"/>
      <c r="X4" s="14" t="inlineStr">
        <is>
          <t>Scripted</t>
        </is>
      </c>
      <c r="Y4" s="17" t="n"/>
      <c r="Z4" s="17" t="n"/>
      <c r="AA4" s="17" t="n"/>
      <c r="AB4" s="17" t="n"/>
      <c r="AC4" s="17" t="n"/>
      <c r="AD4" s="17" t="n"/>
      <c r="AE4" s="18">
        <f>IF(OR(Y4="",Y4=0),"",(AA4+AB4+AC4+AD4)/Y4)</f>
        <v/>
      </c>
    </row>
    <row r="5">
      <c r="A5" s="23" t="n">
        <v>4</v>
      </c>
      <c r="B5" s="23" t="inlineStr">
        <is>
          <t>01-LI-0930</t>
        </is>
      </c>
      <c r="C5" s="24" t="n">
        <v>46327</v>
      </c>
      <c r="D5" s="23" t="inlineStr">
        <is>
          <t>Sun</t>
        </is>
      </c>
      <c r="E5" s="23" t="inlineStr">
        <is>
          <t>09:30</t>
        </is>
      </c>
      <c r="F5" s="23" t="inlineStr">
        <is>
          <t>LinkedIn</t>
        </is>
      </c>
      <c r="G5" s="14" t="inlineStr">
        <is>
          <t>Image + post</t>
        </is>
      </c>
      <c r="H5" s="14" t="inlineStr">
        <is>
          <t>Events &amp; Business</t>
        </is>
      </c>
      <c r="I5" s="14" t="inlineStr">
        <is>
          <t>B2B</t>
        </is>
      </c>
      <c r="J5" s="14" t="inlineStr"/>
      <c r="K5" s="14" t="inlineStr">
        <is>
          <t>Brand launch</t>
        </is>
      </c>
      <c r="L5" s="15" t="inlineStr">
        <is>
          <t>Mada Trips opens its doors</t>
        </is>
      </c>
      <c r="M5" s="14" t="inlineStr">
        <is>
          <t>One partner for everything that moves.</t>
        </is>
      </c>
      <c r="N5" s="14" t="inlineStr">
        <is>
          <t>One partner for everything that moves.</t>
        </is>
      </c>
      <c r="O5" s="16" t="inlineStr">
        <is>
          <t>شريك واحد لكل ما يتحرك</t>
        </is>
      </c>
      <c r="P5" s="14" t="inlineStr"/>
      <c r="Q5" s="14" t="inlineStr">
        <is>
          <t>Today Mada Trips opens its doors in Riyadh.
Most organisations juggle seven vendors to move one delegation: an airline desk, a hotel contact, a visa agent, an event producer, a crew supplier, an IT vendor and someone who chases them all.
We built Mada so that is one call.
→ Travel, ticketing and hotels
→ Visa support and business services
→ Manpower and specialist supply
→ Events and the IT beneath them
One team, one point of contact, one report that accounts for every riyal.
If you are planning a delegation, a conference or a project mobilisation for 2027, we'd like to hear about it.</t>
        </is>
      </c>
      <c r="R5" s="14" t="inlineStr">
        <is>
          <t>corporate travel Saudi Arabia, event management Riyadh, manpower supply KSA</t>
        </is>
      </c>
      <c r="S5" s="14" t="inlineStr">
        <is>
          <t>#Riyadh #CorporateTravel #EventManagement #Vision2030</t>
        </is>
      </c>
      <c r="T5" s="14" t="inlineStr">
        <is>
          <t>Message us / visit the website</t>
        </is>
      </c>
      <c r="U5" s="14" t="inlineStr">
        <is>
          <t>Single 1200x1500 image: sand background, green headline, the 9 service names in a quiet grid, symbol in gold. Founder reshares with a personal line within 2 hours.</t>
        </is>
      </c>
      <c r="V5" s="14" t="inlineStr">
        <is>
          <t>Ask the founder and every team member to comment with substance (not 'congrats') in the first hour.</t>
        </is>
      </c>
      <c r="W5" s="14" t="inlineStr"/>
      <c r="X5" s="14" t="inlineStr">
        <is>
          <t>Scripted</t>
        </is>
      </c>
      <c r="Y5" s="17" t="n"/>
      <c r="Z5" s="17" t="n"/>
      <c r="AA5" s="17" t="n"/>
      <c r="AB5" s="17" t="n"/>
      <c r="AC5" s="17" t="n"/>
      <c r="AD5" s="17" t="n"/>
      <c r="AE5" s="18">
        <f>IF(OR(Y5="",Y5=0),"",(AA5+AB5+AC5+AD5)/Y5)</f>
        <v/>
      </c>
    </row>
    <row r="6">
      <c r="A6" s="12" t="n">
        <v>5</v>
      </c>
      <c r="B6" s="12" t="inlineStr">
        <is>
          <t>02-IG-2030</t>
        </is>
      </c>
      <c r="C6" s="13" t="n">
        <v>46328</v>
      </c>
      <c r="D6" s="12" t="inlineStr">
        <is>
          <t>Mon</t>
        </is>
      </c>
      <c r="E6" s="12" t="inlineStr">
        <is>
          <t>20:30</t>
        </is>
      </c>
      <c r="F6" s="12" t="inlineStr">
        <is>
          <t>Instagram</t>
        </is>
      </c>
      <c r="G6" s="14" t="inlineStr">
        <is>
          <t>Carousel 10</t>
        </is>
      </c>
      <c r="H6" s="14" t="inlineStr">
        <is>
          <t>One Call</t>
        </is>
      </c>
      <c r="I6" s="14" t="inlineStr">
        <is>
          <t>All</t>
        </is>
      </c>
      <c r="J6" s="14" t="inlineStr"/>
      <c r="K6" s="14" t="inlineStr">
        <is>
          <t>Launch week</t>
        </is>
      </c>
      <c r="L6" s="15" t="inlineStr">
        <is>
          <t>9 services. 1 call.</t>
        </is>
      </c>
      <c r="M6" s="14" t="inlineStr">
        <is>
          <t>Slide 1: Say it once. We'll take it from there.</t>
        </is>
      </c>
      <c r="N6" s="14" t="inlineStr">
        <is>
          <t>Say it once. We'll take it from there.</t>
        </is>
      </c>
      <c r="O6" s="16" t="inlineStr">
        <is>
          <t>قلها مرة… ونكمّل عنك</t>
        </is>
      </c>
      <c r="P6" s="16" t="inlineStr">
        <is>
          <t>تسع خدمات، ورقم واحد.
١ السفر ٢ التذاكر ٣ الفنادق ٤ التأشيرات ٥ خدمات الأعمال ٦ الكوادر ٧ المختصين ٨ الفعاليات ٩ الحلول التقنية
احفظ المنشور لين تحتاجنا 📌</t>
        </is>
      </c>
      <c r="Q6" s="14" t="inlineStr">
        <is>
          <t>Nine services, one number. Travel, ticketing, hotels, visas, business services, manpower, specialists, events, IT. Save this for when you need us.</t>
        </is>
      </c>
      <c r="R6" s="14" t="inlineStr">
        <is>
          <t>خدمات سفر, حجز فنادق, تأشيرات, تنظيم فعاليات</t>
        </is>
      </c>
      <c r="S6" s="16" t="inlineStr">
        <is>
          <t>#مادا #MadaTrips #خدمات_سفر #تنظيم_فعاليات #الرياض</t>
        </is>
      </c>
      <c r="T6" s="14" t="inlineStr">
        <is>
          <t>Save + share with the person who always plans</t>
        </is>
      </c>
      <c r="U6" s="14" t="inlineStr">
        <is>
          <t>4:5 (1080x1350). One service per slide: a single real photo, a 3-word promise, the Arabic word large in Reem Kufi. Slide 10: WhatsApp number + 'One call. Everything moves.' Keep text off the bottom 300px.</t>
        </is>
      </c>
      <c r="V6" s="14" t="inlineStr"/>
      <c r="W6" s="14" t="inlineStr"/>
      <c r="X6" s="14" t="inlineStr">
        <is>
          <t>Scripted</t>
        </is>
      </c>
      <c r="Y6" s="17" t="n"/>
      <c r="Z6" s="17" t="n"/>
      <c r="AA6" s="17" t="n"/>
      <c r="AB6" s="17" t="n"/>
      <c r="AC6" s="17" t="n"/>
      <c r="AD6" s="17" t="n"/>
      <c r="AE6" s="18">
        <f>IF(OR(Y6="",Y6=0),"",(AA6+AB6+AC6+AD6)/Y6)</f>
        <v/>
      </c>
    </row>
    <row r="7">
      <c r="A7" s="19" t="n">
        <v>6</v>
      </c>
      <c r="B7" s="19" t="inlineStr">
        <is>
          <t>02-TT-2100</t>
        </is>
      </c>
      <c r="C7" s="20" t="n">
        <v>46328</v>
      </c>
      <c r="D7" s="19" t="inlineStr">
        <is>
          <t>Mon</t>
        </is>
      </c>
      <c r="E7" s="19" t="inlineStr">
        <is>
          <t>21:00</t>
        </is>
      </c>
      <c r="F7" s="19" t="inlineStr">
        <is>
          <t>TikTok</t>
        </is>
      </c>
      <c r="G7" s="14" t="inlineStr">
        <is>
          <t>Video 50s</t>
        </is>
      </c>
      <c r="H7" s="14" t="inlineStr">
        <is>
          <t>Know Before You Go</t>
        </is>
      </c>
      <c r="I7" s="14" t="inlineStr">
        <is>
          <t>Global</t>
        </is>
      </c>
      <c r="J7" s="14" t="inlineStr">
        <is>
          <t>Visa in 60</t>
        </is>
      </c>
      <c r="K7" s="14" t="inlineStr">
        <is>
          <t>Evergreen visa (rule since Apr 2024)</t>
        </is>
      </c>
      <c r="L7" s="15" t="inlineStr">
        <is>
          <t>Schengen 5-year visa for Saudis</t>
        </is>
      </c>
      <c r="M7" s="16" t="inlineStr">
        <is>
          <t>Spoken + on-screen in the first 2s: فيزا شنغن ٥ سنوات؟ حتى من أول مرة!</t>
        </is>
      </c>
      <c r="N7" s="14" t="inlineStr">
        <is>
          <t>5-year Schengen. Even on your first application.</t>
        </is>
      </c>
      <c r="O7" s="16" t="inlineStr">
        <is>
          <t>شنغن ٥ سنوات… حتى من أول مرة</t>
        </is>
      </c>
      <c r="P7" s="16" t="inlineStr">
        <is>
          <t>فيزا شنغن متعددة لين ٥ سنوات للسعوديين المقيمين في المملكة — حتى لو أول مرة تقدم ✅
بس فيه ٣ أشياء لازم تعرفها قبل الموعد 👇
احفظ الفيديو وأرسله لرفيق السفر.</t>
        </is>
      </c>
      <c r="Q7" s="14" t="inlineStr">
        <is>
          <t>Saudi nationals living in the Kingdom can get a multiple-entry Schengen visa of up to 5 years, even on a first application. Here are 3 things to know before your appointment.</t>
        </is>
      </c>
      <c r="R7" s="14" t="inlineStr">
        <is>
          <t>تأشيرة شنغن, فيزا شنغن للسعوديين, شنغن ٥ سنوات, Schengen visa Saudi</t>
        </is>
      </c>
      <c r="S7" s="16" t="inlineStr">
        <is>
          <t>#تأشيرة_شنغن #فيزا #سفر #السعودية #مادا</t>
        </is>
      </c>
      <c r="T7" s="14" t="inlineStr">
        <is>
          <t>Save + 'send to your travel buddy'</t>
        </is>
      </c>
      <c r="U7" s="14" t="inlineStr">
        <is>
          <t>Concierge on camera, green-screen behind with the EU visa page. 3 numbered points as text pops: (1) validity is at the embassy's discretion, (2) apply 3-6 weeks before travel, (3) bring bank statement + employment letter + insurance. End card: 'Want us to prepare your file? Link in bio'.</t>
        </is>
      </c>
      <c r="V7" s="14" t="inlineStr">
        <is>
          <t>Legal check: say 'up to' and 'at the embassy's discretion'. Never promise approval.</t>
        </is>
      </c>
      <c r="W7" s="14" t="inlineStr"/>
      <c r="X7" s="14" t="inlineStr">
        <is>
          <t>Scripted</t>
        </is>
      </c>
      <c r="Y7" s="17" t="n"/>
      <c r="Z7" s="17" t="n"/>
      <c r="AA7" s="17" t="n"/>
      <c r="AB7" s="17" t="n"/>
      <c r="AC7" s="17" t="n"/>
      <c r="AD7" s="17" t="n"/>
      <c r="AE7" s="18">
        <f>IF(OR(Y7="",Y7=0),"",(AA7+AB7+AC7+AD7)/Y7)</f>
        <v/>
      </c>
    </row>
    <row r="8">
      <c r="A8" s="21" t="n">
        <v>7</v>
      </c>
      <c r="B8" s="21" t="inlineStr">
        <is>
          <t>02-X-1230</t>
        </is>
      </c>
      <c r="C8" s="22" t="n">
        <v>46328</v>
      </c>
      <c r="D8" s="21" t="inlineStr">
        <is>
          <t>Mon</t>
        </is>
      </c>
      <c r="E8" s="21" t="inlineStr">
        <is>
          <t>12:30</t>
        </is>
      </c>
      <c r="F8" s="21" t="inlineStr">
        <is>
          <t>X</t>
        </is>
      </c>
      <c r="G8" s="14" t="inlineStr">
        <is>
          <t>Thread 5</t>
        </is>
      </c>
      <c r="H8" s="14" t="inlineStr">
        <is>
          <t>Know Before You Go</t>
        </is>
      </c>
      <c r="I8" s="14" t="inlineStr">
        <is>
          <t>Global</t>
        </is>
      </c>
      <c r="J8" s="14" t="inlineStr">
        <is>
          <t>Visa in 60</t>
        </is>
      </c>
      <c r="K8" s="14" t="inlineStr">
        <is>
          <t>Evergreen visa</t>
        </is>
      </c>
      <c r="L8" s="15" t="inlineStr">
        <is>
          <t>Schengen 5-year visa thread</t>
        </is>
      </c>
      <c r="M8" s="16" t="inlineStr">
        <is>
          <t>فيزا شنغن ٥ سنوات للسعوديين: الدليل المختصر 🧵</t>
        </is>
      </c>
      <c r="N8" s="14" t="inlineStr"/>
      <c r="O8" s="14" t="inlineStr"/>
      <c r="P8" s="16" t="inlineStr">
        <is>
          <t>١/ فيزا شنغن متعددة لين ٥ سنوات للسعوديين المقيمين بالمملكة، حتى في أول طلب. الدليل المختصر 🧵
٢/ المدة تقررها السفارة حسب ملفك. السفر السابق والملف المرتب يفرقون.
٣/ قدّم قبل سفرك بـ٣ إلى ٦ أسابيع، ولا تقدم قبل أكثر من ٦ شهور.
٤/ الأساسيات: جواز ساري، كشف حساب، خطاب جهة العمل، تأمين سفر، حجوزات.
٥/ تبي نجهز ملفك ونحجز موعدك؟ نسويها لك من البداية للنهاية.</t>
        </is>
      </c>
      <c r="Q8" s="14" t="inlineStr">
        <is>
          <t>1/ Saudis living in KSA can get a multiple-entry Schengen visa of up to 5 years, even on a first application. 2/ The embassy decides the validity. 3/ Apply 3-6 weeks before travel, never more than 6 months. 4/ Basics: passport, bank statement, employer letter, insurance, bookings. 5/ Want us to prepare your file?</t>
        </is>
      </c>
      <c r="R8" s="14" t="inlineStr">
        <is>
          <t>تأشيرة شنغن, Schengen visa</t>
        </is>
      </c>
      <c r="S8" s="16" t="inlineStr">
        <is>
          <t>#تأشيرة_شنغن</t>
        </is>
      </c>
      <c r="T8" s="14" t="inlineStr">
        <is>
          <t>DM / WhatsApp</t>
        </is>
      </c>
      <c r="U8" s="14" t="inlineStr">
        <is>
          <t>Text-only thread (text posts carry the highest median engagement on X per Buffer 2026). One image on tweet 1: a branded checklist card.</t>
        </is>
      </c>
      <c r="V8" s="14" t="inlineStr">
        <is>
          <t>Space threads at least 3 hours from other posts. X downranks bursts from the same author.</t>
        </is>
      </c>
      <c r="W8" s="14" t="inlineStr"/>
      <c r="X8" s="14" t="inlineStr">
        <is>
          <t>Scripted</t>
        </is>
      </c>
      <c r="Y8" s="17" t="n"/>
      <c r="Z8" s="17" t="n"/>
      <c r="AA8" s="17" t="n"/>
      <c r="AB8" s="17" t="n"/>
      <c r="AC8" s="17" t="n"/>
      <c r="AD8" s="17" t="n"/>
      <c r="AE8" s="18">
        <f>IF(OR(Y8="",Y8=0),"",(AA8+AB8+AC8+AD8)/Y8)</f>
        <v/>
      </c>
    </row>
    <row r="9">
      <c r="A9" s="12" t="n">
        <v>8</v>
      </c>
      <c r="B9" s="12" t="inlineStr">
        <is>
          <t>03-IG-2030</t>
        </is>
      </c>
      <c r="C9" s="13" t="n">
        <v>46329</v>
      </c>
      <c r="D9" s="12" t="inlineStr">
        <is>
          <t>Tue</t>
        </is>
      </c>
      <c r="E9" s="12" t="inlineStr">
        <is>
          <t>20:30</t>
        </is>
      </c>
      <c r="F9" s="12" t="inlineStr">
        <is>
          <t>Instagram</t>
        </is>
      </c>
      <c r="G9" s="14" t="inlineStr">
        <is>
          <t>Static 4:5</t>
        </is>
      </c>
      <c r="H9" s="14" t="inlineStr">
        <is>
          <t>Moments &amp; Offers</t>
        </is>
      </c>
      <c r="I9" s="14" t="inlineStr">
        <is>
          <t>All</t>
        </is>
      </c>
      <c r="J9" s="14" t="inlineStr"/>
      <c r="K9" s="14" t="inlineStr">
        <is>
          <t>Launch week</t>
        </is>
      </c>
      <c r="L9" s="15" t="inlineStr">
        <is>
          <t>A note from our founder</t>
        </is>
      </c>
      <c r="M9" s="14" t="inlineStr">
        <is>
          <t>In Arabia, no guest walks alone.</t>
        </is>
      </c>
      <c r="N9" s="14" t="inlineStr">
        <is>
          <t>“In Arabia, no guest walks alone.” Bader Al Sulaiman</t>
        </is>
      </c>
      <c r="O9" s="16" t="inlineStr">
        <is>
          <t>«في جزيرة العرب، ما يمشي ضيف وحده.» بدر السليمان</t>
        </is>
      </c>
      <c r="P9" s="16" t="inlineStr">
        <is>
          <t>في جزيرة العرب، ما يمشي ضيف وحده.
هذا الوعد اللي بنينا عليه مادا: كل مسافر، كل فريق، وكل فكرة تجي للمملكة… معها أحد.
— بدر السليمان، المؤسس والرئيس التنفيذي</t>
        </is>
      </c>
      <c r="Q9" s="14" t="inlineStr">
        <is>
          <t>In Arabia, no guest walks alone. That promise is what Mada is built on: every traveller, every team and every idea that comes to the Kingdom has someone with them. Bader Al Sulaiman, Founder &amp; CEO.</t>
        </is>
      </c>
      <c r="R9" s="14" t="inlineStr">
        <is>
          <t>مادا, بدر السليمان</t>
        </is>
      </c>
      <c r="S9" s="16" t="inlineStr">
        <is>
          <t>#مادا #MadaTrips #ضيافة #الرياض</t>
        </is>
      </c>
      <c r="T9" s="14" t="inlineStr">
        <is>
          <t>Follow for the journey</t>
        </is>
      </c>
      <c r="U9" s="14" t="inlineStr">
        <is>
          <t>Founder portrait (assets/img/founder.jpg) in green duotone, quote in Instrument Serif italic EN + Aref Ruqaa AR, signature at bottom.</t>
        </is>
      </c>
      <c r="V9" s="25" t="inlineStr">
        <is>
          <t>APPROVAL: the quote is still draft copy (see README). Get Bader's sign-off before scheduling.</t>
        </is>
      </c>
      <c r="W9" s="14" t="inlineStr"/>
      <c r="X9" s="14" t="inlineStr">
        <is>
          <t>Scripted</t>
        </is>
      </c>
      <c r="Y9" s="17" t="n"/>
      <c r="Z9" s="17" t="n"/>
      <c r="AA9" s="17" t="n"/>
      <c r="AB9" s="17" t="n"/>
      <c r="AC9" s="17" t="n"/>
      <c r="AD9" s="17" t="n"/>
      <c r="AE9" s="18">
        <f>IF(OR(Y9="",Y9=0),"",(AA9+AB9+AC9+AD9)/Y9)</f>
        <v/>
      </c>
    </row>
    <row r="10">
      <c r="A10" s="19" t="n">
        <v>9</v>
      </c>
      <c r="B10" s="19" t="inlineStr">
        <is>
          <t>03-TT-2100</t>
        </is>
      </c>
      <c r="C10" s="20" t="n">
        <v>46329</v>
      </c>
      <c r="D10" s="19" t="inlineStr">
        <is>
          <t>Tue</t>
        </is>
      </c>
      <c r="E10" s="19" t="inlineStr">
        <is>
          <t>21:00</t>
        </is>
      </c>
      <c r="F10" s="19" t="inlineStr">
        <is>
          <t>TikTok</t>
        </is>
      </c>
      <c r="G10" s="14" t="inlineStr">
        <is>
          <t>Video 45s</t>
        </is>
      </c>
      <c r="H10" s="14" t="inlineStr">
        <is>
          <t>Saudi &amp; Gulf Horizons</t>
        </is>
      </c>
      <c r="I10" s="14" t="inlineStr">
        <is>
          <t>Saudi</t>
        </is>
      </c>
      <c r="J10" s="14" t="inlineStr"/>
      <c r="K10" s="14" t="inlineStr">
        <is>
          <t>Riyadh Season 2026 (from 21 Oct)</t>
        </is>
      </c>
      <c r="L10" s="15" t="inlineStr">
        <is>
          <t>5 things nobody tells you about Riyadh Season</t>
        </is>
      </c>
      <c r="M10" s="16" t="inlineStr">
        <is>
          <t>On-screen: ٥ أشياء محد يقولها لك عن موسم الرياض 🤫</t>
        </is>
      </c>
      <c r="N10" s="14" t="inlineStr">
        <is>
          <t>5 things nobody tells you about Riyadh Season</t>
        </is>
      </c>
      <c r="O10" s="16" t="inlineStr">
        <is>
          <t>٥ أشياء محد يقولها لك عن موسم الرياض</t>
        </is>
      </c>
      <c r="P10" s="16" t="inlineStr">
        <is>
          <t>موسم الرياض ٢٠٢٦ بدأ ✨ بس قبل تروح… هذي ٥ أشياء محد يقولها لك 👇
أي وحدة كنت تعرفها؟</t>
        </is>
      </c>
      <c r="Q10" s="14" t="inlineStr">
        <is>
          <t>Riyadh Season 2026 is on. Before you go, here are 5 things nobody tells you. Which one did you already know?</t>
        </is>
      </c>
      <c r="R10" s="14" t="inlineStr">
        <is>
          <t>موسم الرياض, موسم الرياض ٢٠٢٦, Riyadh Season 2026, بوليفارد وورلد</t>
        </is>
      </c>
      <c r="S10" s="16" t="inlineStr">
        <is>
          <t>#موسم_الرياض #بوليفارد_وورلد #الرياض #RiyadhSeason #مادا</t>
        </is>
      </c>
      <c r="T10" s="14" t="inlineStr">
        <is>
          <t>Comment which tip you didn't know</t>
        </is>
      </c>
      <c r="U10" s="14" t="inlineStr">
        <is>
          <t>Fast list format, one tip per 7-8s, real footage from Boulevard World and Boulevard City: (1) book tickets ahead on the official app (2) weekdays after 9pm are calmer (3) comfortable shoes, it's a lot of walking (4) agree a meeting point, signal drops in crowds (5) check each zone's opening days. Text + VO.</t>
        </is>
      </c>
      <c r="V10" s="14" t="inlineStr">
        <is>
          <t>Verify zone hours on the official channels the morning of posting.</t>
        </is>
      </c>
      <c r="W10" s="14" t="inlineStr"/>
      <c r="X10" s="14" t="inlineStr">
        <is>
          <t>Scripted</t>
        </is>
      </c>
      <c r="Y10" s="17" t="n"/>
      <c r="Z10" s="17" t="n"/>
      <c r="AA10" s="17" t="n"/>
      <c r="AB10" s="17" t="n"/>
      <c r="AC10" s="17" t="n"/>
      <c r="AD10" s="17" t="n"/>
      <c r="AE10" s="18">
        <f>IF(OR(Y10="",Y10=0),"",(AA10+AB10+AC10+AD10)/Y10)</f>
        <v/>
      </c>
    </row>
    <row r="11">
      <c r="A11" s="21" t="n">
        <v>10</v>
      </c>
      <c r="B11" s="21" t="inlineStr">
        <is>
          <t>03-X-1200</t>
        </is>
      </c>
      <c r="C11" s="22" t="n">
        <v>46329</v>
      </c>
      <c r="D11" s="21" t="inlineStr">
        <is>
          <t>Tue</t>
        </is>
      </c>
      <c r="E11" s="21" t="inlineStr">
        <is>
          <t>12:00</t>
        </is>
      </c>
      <c r="F11" s="21" t="inlineStr">
        <is>
          <t>X</t>
        </is>
      </c>
      <c r="G11" s="14" t="inlineStr">
        <is>
          <t>Post</t>
        </is>
      </c>
      <c r="H11" s="14" t="inlineStr">
        <is>
          <t>One Call</t>
        </is>
      </c>
      <c r="I11" s="14" t="inlineStr">
        <is>
          <t>All</t>
        </is>
      </c>
      <c r="J11" s="14" t="inlineStr"/>
      <c r="K11" s="14" t="inlineStr">
        <is>
          <t>Airline schedule changes after the October RUH closures</t>
        </is>
      </c>
      <c r="L11" s="15" t="inlineStr">
        <is>
          <t>Disruption help line</t>
        </is>
      </c>
      <c r="M11" s="16" t="inlineStr">
        <is>
          <t>رحلتك تأثرت بتعديلات الطيران الأخيرة؟</t>
        </is>
      </c>
      <c r="N11" s="14" t="inlineStr"/>
      <c r="O11" s="14" t="inlineStr"/>
      <c r="P11" s="16" t="inlineStr">
        <is>
          <t>رحلتك تأثرت بتعديلات الطيران الأخيرة؟
أرسل لنا رقم الحجز على الواتساب، ونتابع لك خيارات التعديل أو الاسترداد مع شركة الطيران، بدون ما تنتظر على الخط.
حتى لو ما حجزت معنا.</t>
        </is>
      </c>
      <c r="Q11" s="14" t="inlineStr">
        <is>
          <t>Was your flight affected by recent schedule changes? Send us your booking reference on WhatsApp and we'll chase change or refund options with the airline. Even if you didn't book with us.</t>
        </is>
      </c>
      <c r="R11" s="14" t="inlineStr">
        <is>
          <t>تعديل رحلة, استرداد تذكرة</t>
        </is>
      </c>
      <c r="S11" s="14" t="inlineStr"/>
      <c r="T11" s="14" t="inlineStr">
        <is>
          <t>WhatsApp</t>
        </is>
      </c>
      <c r="U11" s="14" t="inlineStr">
        <is>
          <t>Text only, calm tone. No airport imagery, no mention of attacks.</t>
        </is>
      </c>
      <c r="V11" s="25" t="inlineStr">
        <is>
          <t>SENSITIVITY: post only if foreign carriers' suspensions are still affecting travellers that week (check Monday). Never joke about airports or safety.</t>
        </is>
      </c>
      <c r="W11" s="14" t="inlineStr"/>
      <c r="X11" s="14" t="inlineStr">
        <is>
          <t>Scripted</t>
        </is>
      </c>
      <c r="Y11" s="17" t="n"/>
      <c r="Z11" s="17" t="n"/>
      <c r="AA11" s="17" t="n"/>
      <c r="AB11" s="17" t="n"/>
      <c r="AC11" s="17" t="n"/>
      <c r="AD11" s="17" t="n"/>
      <c r="AE11" s="18">
        <f>IF(OR(Y11="",Y11=0),"",(AA11+AB11+AC11+AD11)/Y11)</f>
        <v/>
      </c>
    </row>
    <row r="12">
      <c r="A12" s="23" t="n">
        <v>11</v>
      </c>
      <c r="B12" s="23" t="inlineStr">
        <is>
          <t>03-LI-0930</t>
        </is>
      </c>
      <c r="C12" s="24" t="n">
        <v>46329</v>
      </c>
      <c r="D12" s="23" t="inlineStr">
        <is>
          <t>Tue</t>
        </is>
      </c>
      <c r="E12" s="23" t="inlineStr">
        <is>
          <t>09:30</t>
        </is>
      </c>
      <c r="F12" s="23" t="inlineStr">
        <is>
          <t>LinkedIn</t>
        </is>
      </c>
      <c r="G12" s="14" t="inlineStr">
        <is>
          <t>Document 8 pages</t>
        </is>
      </c>
      <c r="H12" s="14" t="inlineStr">
        <is>
          <t>Events &amp; Business</t>
        </is>
      </c>
      <c r="I12" s="14" t="inlineStr">
        <is>
          <t>B2B</t>
        </is>
      </c>
      <c r="J12" s="14" t="inlineStr"/>
      <c r="K12" s="14" t="inlineStr">
        <is>
          <t>Post-FII10 (26-29 Oct)</t>
        </is>
      </c>
      <c r="L12" s="15" t="inlineStr">
        <is>
          <t>Hosting international delegates in Riyadh: the checklist</t>
        </is>
      </c>
      <c r="M12" s="14" t="inlineStr">
        <is>
          <t>Page 1: 200 delegates land in Riyadh in 12 weeks. What has to be true?</t>
        </is>
      </c>
      <c r="N12" s="14" t="inlineStr">
        <is>
          <t>Hosting delegates in Riyadh: the 2027 checklist</t>
        </is>
      </c>
      <c r="O12" s="14" t="inlineStr"/>
      <c r="P12" s="14" t="inlineStr"/>
      <c r="Q12" s="14" t="inlineStr">
        <is>
          <t>FII10 just wrapped, and 2027's calendar is already filling. If you are hosting international delegates in Riyadh, this is the checklist we run:
1. Visas: business eVisa vs visit visa, lead times per nationality
2. Arrivals: meet-and-assist, fast-track, VIP lanes
3. Rooms: blocks near the venue, release dates, rooming lists
4. Ground: transfer waves timed to sessions, not flights
5. Badging and registration
6. Cultural briefing: dress, prayer times, Friday schedules
7. A single live status board for the host team
8. The after-report: every booking, every riyal
Swipe for the full version. Save it for your next event.</t>
        </is>
      </c>
      <c r="R12" s="14" t="inlineStr">
        <is>
          <t>delegation management Riyadh, MICE Saudi Arabia, business eVisa Saudi</t>
        </is>
      </c>
      <c r="S12" s="14" t="inlineStr">
        <is>
          <t>#MICE #Riyadh #EventManagement #CorporateTravel</t>
        </is>
      </c>
      <c r="T12" s="14" t="inlineStr">
        <is>
          <t>Save + DM 'CHECKLIST' for the editable version</t>
        </is>
      </c>
      <c r="U12" s="14" t="inlineStr">
        <is>
          <t>PDF carousel, 1080x1350 pages, sand background, one point per page with a small icon. Documents lead LinkedIn engagement (Buffer 2026, Socialinsider 2026).</t>
        </is>
      </c>
      <c r="V12" s="14" t="inlineStr"/>
      <c r="W12" s="14" t="inlineStr"/>
      <c r="X12" s="14" t="inlineStr">
        <is>
          <t>Scripted</t>
        </is>
      </c>
      <c r="Y12" s="17" t="n"/>
      <c r="Z12" s="17" t="n"/>
      <c r="AA12" s="17" t="n"/>
      <c r="AB12" s="17" t="n"/>
      <c r="AC12" s="17" t="n"/>
      <c r="AD12" s="17" t="n"/>
      <c r="AE12" s="18">
        <f>IF(OR(Y12="",Y12=0),"",(AA12+AB12+AC12+AD12)/Y12)</f>
        <v/>
      </c>
    </row>
    <row r="13">
      <c r="A13" s="12" t="n">
        <v>12</v>
      </c>
      <c r="B13" s="12" t="inlineStr">
        <is>
          <t>04-IG-2030</t>
        </is>
      </c>
      <c r="C13" s="13" t="n">
        <v>46330</v>
      </c>
      <c r="D13" s="12" t="inlineStr">
        <is>
          <t>Wed</t>
        </is>
      </c>
      <c r="E13" s="12" t="inlineStr">
        <is>
          <t>20:30</t>
        </is>
      </c>
      <c r="F13" s="12" t="inlineStr">
        <is>
          <t>Instagram</t>
        </is>
      </c>
      <c r="G13" s="14" t="inlineStr">
        <is>
          <t>Reel 35s</t>
        </is>
      </c>
      <c r="H13" s="14" t="inlineStr">
        <is>
          <t>One Call</t>
        </is>
      </c>
      <c r="I13" s="14" t="inlineStr">
        <is>
          <t>Saudi</t>
        </is>
      </c>
      <c r="J13" s="14" t="inlineStr">
        <is>
          <t>One Call</t>
        </is>
      </c>
      <c r="K13" s="14" t="inlineStr">
        <is>
          <t>AlUla Skies Festival 6-15 Nov</t>
        </is>
      </c>
      <c r="L13" s="15" t="inlineStr">
        <is>
          <t>One Call #1: three rooms for AlUla Skies</t>
        </is>
      </c>
      <c r="M13" s="16" t="inlineStr">
        <is>
          <t>Voice note plays: 'نبي ٣ غرف بالعلا ويكند مهرجان السماء…'</t>
        </is>
      </c>
      <c r="N13" s="14" t="inlineStr">
        <is>
          <t>One call. 3 rooms. 4 minutes.</t>
        </is>
      </c>
      <c r="O13" s="16" t="inlineStr">
        <is>
          <t>مكالمة وحدة. ٣ غرف. ٤ دقائق.</t>
        </is>
      </c>
      <c r="P13" s="16" t="inlineStr">
        <is>
          <t>مكالمة وحدة… والويكند جاهز 🎈
سلسلة «مكالمة وحدة»: طلبات حقيقية، وكيف نحلها.
وش الطلب اللي تبينا نحله في الحلقة الجاية؟</t>
        </is>
      </c>
      <c r="Q13" s="14" t="inlineStr">
        <is>
          <t>One call and the weekend is ready. 'One Call' is our series of real requests and how we solve them. What should we solve next?</t>
        </is>
      </c>
      <c r="R13" s="14" t="inlineStr">
        <is>
          <t>مهرجان سماء العلا, فنادق العلا, AlUla Skies Festival</t>
        </is>
      </c>
      <c r="S13" s="16" t="inlineStr">
        <is>
          <t>#مكالمة_وحدة #العلا #سماء_العلا #مادا #AlUla</t>
        </is>
      </c>
      <c r="T13" s="14" t="inlineStr">
        <is>
          <t>Comment your request for the next episode</t>
        </is>
      </c>
      <c r="U13" s="14" t="inlineStr">
        <is>
          <t>Split screen. Left: the client's voice note waveform + subtitles. Right: the concierge working (calls, screens blurred, confirmations). A running timer top-right. Ends on the client's reply: '😍 تم'. Natural office sound, no music under the voice.</t>
        </is>
      </c>
      <c r="V13" s="14" t="inlineStr">
        <is>
          <t>Re-enact with consent and anonymise. Label it 'based on a real request' if re-enacted.</t>
        </is>
      </c>
      <c r="W13" s="14" t="inlineStr"/>
      <c r="X13" s="14" t="inlineStr">
        <is>
          <t>Scripted</t>
        </is>
      </c>
      <c r="Y13" s="17" t="n"/>
      <c r="Z13" s="17" t="n"/>
      <c r="AA13" s="17" t="n"/>
      <c r="AB13" s="17" t="n"/>
      <c r="AC13" s="17" t="n"/>
      <c r="AD13" s="17" t="n"/>
      <c r="AE13" s="18">
        <f>IF(OR(Y13="",Y13=0),"",(AA13+AB13+AC13+AD13)/Y13)</f>
        <v/>
      </c>
    </row>
    <row r="14">
      <c r="A14" s="19" t="n">
        <v>13</v>
      </c>
      <c r="B14" s="19" t="inlineStr">
        <is>
          <t>04-TT-2100</t>
        </is>
      </c>
      <c r="C14" s="20" t="n">
        <v>46330</v>
      </c>
      <c r="D14" s="19" t="inlineStr">
        <is>
          <t>Wed</t>
        </is>
      </c>
      <c r="E14" s="19" t="inlineStr">
        <is>
          <t>21:00</t>
        </is>
      </c>
      <c r="F14" s="19" t="inlineStr">
        <is>
          <t>TikTok</t>
        </is>
      </c>
      <c r="G14" s="14" t="inlineStr">
        <is>
          <t>Video 40s</t>
        </is>
      </c>
      <c r="H14" s="14" t="inlineStr">
        <is>
          <t>Saudi &amp; Gulf Horizons</t>
        </is>
      </c>
      <c r="I14" s="14" t="inlineStr">
        <is>
          <t>Saudi</t>
        </is>
      </c>
      <c r="J14" s="14" t="inlineStr"/>
      <c r="K14" s="14" t="inlineStr">
        <is>
          <t>AlUla Skies Festival 6-15 Nov</t>
        </is>
      </c>
      <c r="L14" s="15" t="inlineStr">
        <is>
          <t>AlUla Skies Festival: what to do</t>
        </is>
      </c>
      <c r="M14" s="16" t="inlineStr">
        <is>
          <t>On-screen + VO: العلا تفتح سماها ٦ نوفمبر 🎈</t>
        </is>
      </c>
      <c r="N14" s="14" t="inlineStr">
        <is>
          <t>AlUla Skies · 6-15 Nov</t>
        </is>
      </c>
      <c r="O14" s="16" t="inlineStr">
        <is>
          <t>سماء العلا · ٦–١٥ نوفمبر</t>
        </is>
      </c>
      <c r="P14" s="16" t="inlineStr">
        <is>
          <t>مهرجان سماء العلا من ٦ لين ١٥ نوفمبر 🎈🔭
مناطيد الشروق، عروض المناطيد المضيئة بالليل، ورصد النجوم بأظلم ليالي الشهر.
مين بتاخذ معك؟ منشنه 👇</t>
        </is>
      </c>
      <c r="Q14" s="14" t="inlineStr">
        <is>
          <t>AlUla Skies Festival, 6-15 November: sunrise balloon flights, balloon glow at night and stargazing on the darkest nights of the month. Tag who you're taking.</t>
        </is>
      </c>
      <c r="R14" s="14" t="inlineStr">
        <is>
          <t>مهرجان سماء العلا, العلا نوفمبر, منطاد العلا, AlUla Skies</t>
        </is>
      </c>
      <c r="S14" s="16" t="inlineStr">
        <is>
          <t>#العلا #سماء_العلا #منطاد #السعودية #مادا</t>
        </is>
      </c>
      <c r="T14" s="14" t="inlineStr">
        <is>
          <t>Tag a friend</t>
        </is>
      </c>
      <c r="U14" s="14" t="inlineStr">
        <is>
          <t>Countdown style: 3 beats (balloons at sunrise → balloon glow → stars over the rocks). Use our own AlUla stills/footage. 'Moonless 7-12 Nov' as a pop-up fact.</t>
        </is>
      </c>
      <c r="V14" s="14" t="inlineStr">
        <is>
          <t>Confirm the programme (incl. any concert) on Experience AlUla's channels before posting.</t>
        </is>
      </c>
      <c r="W14" s="14" t="inlineStr"/>
      <c r="X14" s="14" t="inlineStr">
        <is>
          <t>Scripted</t>
        </is>
      </c>
      <c r="Y14" s="17" t="n"/>
      <c r="Z14" s="17" t="n"/>
      <c r="AA14" s="17" t="n"/>
      <c r="AB14" s="17" t="n"/>
      <c r="AC14" s="17" t="n"/>
      <c r="AD14" s="17" t="n"/>
      <c r="AE14" s="18">
        <f>IF(OR(Y14="",Y14=0),"",(AA14+AB14+AC14+AD14)/Y14)</f>
        <v/>
      </c>
    </row>
    <row r="15">
      <c r="A15" s="21" t="n">
        <v>14</v>
      </c>
      <c r="B15" s="21" t="inlineStr">
        <is>
          <t>04-X-1800</t>
        </is>
      </c>
      <c r="C15" s="22" t="n">
        <v>46330</v>
      </c>
      <c r="D15" s="21" t="inlineStr">
        <is>
          <t>Wed</t>
        </is>
      </c>
      <c r="E15" s="21" t="inlineStr">
        <is>
          <t>18:00</t>
        </is>
      </c>
      <c r="F15" s="21" t="inlineStr">
        <is>
          <t>X</t>
        </is>
      </c>
      <c r="G15" s="14" t="inlineStr">
        <is>
          <t>Post</t>
        </is>
      </c>
      <c r="H15" s="14" t="inlineStr">
        <is>
          <t>World Horizons</t>
        </is>
      </c>
      <c r="I15" s="14" t="inlineStr">
        <is>
          <t>Global</t>
        </is>
      </c>
      <c r="J15" s="14" t="inlineStr">
        <is>
          <t>Fly For It</t>
        </is>
      </c>
      <c r="K15" s="14" t="inlineStr">
        <is>
          <t>UCL MD4 (4 Nov)</t>
        </is>
      </c>
      <c r="L15" s="15" t="inlineStr">
        <is>
          <t>Liverpool in Istanbul tonight</t>
        </is>
      </c>
      <c r="M15" s="16" t="inlineStr">
        <is>
          <t>ليفربول الليلة في إسطنبول… ٤ ساعات من الرياض ⚽</t>
        </is>
      </c>
      <c r="N15" s="14" t="inlineStr"/>
      <c r="O15" s="14" t="inlineStr"/>
      <c r="P15" s="16" t="inlineStr">
        <is>
          <t>ليفربول الليلة في إسطنبول ضد فنربخشة ⚽ (٨:٤٥ بتوقيت الرياض)
إسطنبول على بعد ٤ ساعات بس. المرة الجاية تبيها من المدرجات؟ نرتبها لك: تذكرة، طيران، فندق.</t>
        </is>
      </c>
      <c r="Q15" s="14" t="inlineStr">
        <is>
          <t>Liverpool play Fenerbahçe in Istanbul tonight (20:45 Riyadh time). Istanbul is only 4 hours away. Next time, want it from the stands? We arrange the ticket, flight and hotel.</t>
        </is>
      </c>
      <c r="R15" s="14" t="inlineStr">
        <is>
          <t>دوري أبطال أوروبا, ليفربول, إسطنبول, Champions League travel</t>
        </is>
      </c>
      <c r="S15" s="16" t="inlineStr">
        <is>
          <t>#دوري_أبطال_أوروبا</t>
        </is>
      </c>
      <c r="T15" s="14" t="inlineStr">
        <is>
          <t>Reply / DM</t>
        </is>
      </c>
      <c r="U15" s="14" t="inlineStr">
        <is>
          <t>Text + a clean graphic: RUH → IST, 4h. No UEFA or club logos.</t>
        </is>
      </c>
      <c r="V15" s="14" t="inlineStr">
        <is>
          <t>Confirm the kick-off time on uefa.com the day of posting. No UEFA/club logos.</t>
        </is>
      </c>
      <c r="W15" s="14" t="inlineStr"/>
      <c r="X15" s="14" t="inlineStr">
        <is>
          <t>Scripted</t>
        </is>
      </c>
      <c r="Y15" s="17" t="n"/>
      <c r="Z15" s="17" t="n"/>
      <c r="AA15" s="17" t="n"/>
      <c r="AB15" s="17" t="n"/>
      <c r="AC15" s="17" t="n"/>
      <c r="AD15" s="17" t="n"/>
      <c r="AE15" s="18">
        <f>IF(OR(Y15="",Y15=0),"",(AA15+AB15+AC15+AD15)/Y15)</f>
        <v/>
      </c>
    </row>
    <row r="16">
      <c r="A16" s="12" t="n">
        <v>15</v>
      </c>
      <c r="B16" s="12" t="inlineStr">
        <is>
          <t>05-IG-1930</t>
        </is>
      </c>
      <c r="C16" s="13" t="n">
        <v>46331</v>
      </c>
      <c r="D16" s="12" t="inlineStr">
        <is>
          <t>Thu</t>
        </is>
      </c>
      <c r="E16" s="12" t="inlineStr">
        <is>
          <t>19:30</t>
        </is>
      </c>
      <c r="F16" s="12" t="inlineStr">
        <is>
          <t>Instagram</t>
        </is>
      </c>
      <c r="G16" s="14" t="inlineStr">
        <is>
          <t>Carousel 7</t>
        </is>
      </c>
      <c r="H16" s="14" t="inlineStr">
        <is>
          <t>Saudi &amp; Gulf Horizons</t>
        </is>
      </c>
      <c r="I16" s="14" t="inlineStr">
        <is>
          <t>Saudi</t>
        </is>
      </c>
      <c r="J16" s="14" t="inlineStr">
        <is>
          <t>Weekend Radar</t>
        </is>
      </c>
      <c r="K16" s="14" t="inlineStr">
        <is>
          <t>Riyadh Season, AlUla Skies, WWE Crown Jewel (7 Nov)</t>
        </is>
      </c>
      <c r="L16" s="15" t="inlineStr">
        <is>
          <t>Weekend Radar #1</t>
        </is>
      </c>
      <c r="M16" s="14" t="inlineStr">
        <is>
          <t>Slide 1: This weekend in Riyadh &amp; beyond · 5-7 Nov</t>
        </is>
      </c>
      <c r="N16" s="14" t="inlineStr">
        <is>
          <t>Weekend Radar · 5-7 Nov</t>
        </is>
      </c>
      <c r="O16" s="16" t="inlineStr">
        <is>
          <t>رادار الويكند · ٥–٧ نوفمبر</t>
        </is>
      </c>
      <c r="P16" s="16" t="inlineStr">
        <is>
          <t>رادار الويكند 📡
• موسم الرياض: الأجنحة الجديدة في بوليفارد وورلد (هولندا، البرتغال، اليمن)
• العلا: افتتاح مهرجان سماء العلا الجمعة
• السبت: ليلة WWE Crown Jewel في الرياض
• موسم سباقات الرياض مستمر
احفظه وشاركه مع شلتك 📌</t>
        </is>
      </c>
      <c r="Q16" s="14" t="inlineStr">
        <is>
          <t>Weekend Radar. Riyadh Season's new Boulevard World pavilions, AlUla Skies opens Friday, WWE Crown Jewel on Saturday, and Riyadh racing season continues. Save and share.</t>
        </is>
      </c>
      <c r="R16" s="14" t="inlineStr">
        <is>
          <t>فعاليات الرياض هالويكند, وش اسوي بالرياض, Riyadh this weekend</t>
        </is>
      </c>
      <c r="S16" s="16" t="inlineStr">
        <is>
          <t>#رادار_الويكند #موسم_الرياض #فعاليات_الرياض #الرياض #مادا</t>
        </is>
      </c>
      <c r="T16" s="14" t="inlineStr">
        <is>
          <t>Save + share to your group</t>
        </is>
      </c>
      <c r="U16" s="14" t="inlineStr">
        <is>
          <t>Recurring template every Thursday: green cover with a radar-sweep graphic, one event per slide with date, place and a one-line tip. Last slide: 'Need tickets, a table or a ride? WhatsApp'.</t>
        </is>
      </c>
      <c r="V16" s="14" t="inlineStr"/>
      <c r="W16" s="14" t="inlineStr"/>
      <c r="X16" s="14" t="inlineStr">
        <is>
          <t>Scripted</t>
        </is>
      </c>
      <c r="Y16" s="17" t="n"/>
      <c r="Z16" s="17" t="n"/>
      <c r="AA16" s="17" t="n"/>
      <c r="AB16" s="17" t="n"/>
      <c r="AC16" s="17" t="n"/>
      <c r="AD16" s="17" t="n"/>
      <c r="AE16" s="18">
        <f>IF(OR(Y16="",Y16=0),"",(AA16+AB16+AC16+AD16)/Y16)</f>
        <v/>
      </c>
    </row>
    <row r="17">
      <c r="A17" s="12" t="n">
        <v>16</v>
      </c>
      <c r="B17" s="12" t="inlineStr">
        <is>
          <t>05-IG-2130</t>
        </is>
      </c>
      <c r="C17" s="13" t="n">
        <v>46331</v>
      </c>
      <c r="D17" s="12" t="inlineStr">
        <is>
          <t>Thu</t>
        </is>
      </c>
      <c r="E17" s="12" t="inlineStr">
        <is>
          <t>21:30</t>
        </is>
      </c>
      <c r="F17" s="12" t="inlineStr">
        <is>
          <t>Instagram</t>
        </is>
      </c>
      <c r="G17" s="14" t="inlineStr">
        <is>
          <t>Reel 35s</t>
        </is>
      </c>
      <c r="H17" s="14" t="inlineStr">
        <is>
          <t>World Horizons</t>
        </is>
      </c>
      <c r="I17" s="14" t="inlineStr">
        <is>
          <t>Global</t>
        </is>
      </c>
      <c r="J17" s="14" t="inlineStr">
        <is>
          <t>Fly For It</t>
        </is>
      </c>
      <c r="K17" s="14" t="inlineStr">
        <is>
          <t>UCL MD6 Arsenal v Real Madrid (9 Dec) · North London derby (5 Dec)</t>
        </is>
      </c>
      <c r="L17" s="15" t="inlineStr">
        <is>
          <t>Fly For It: Arsenal v Real Madrid, London, 9 Dec</t>
        </is>
      </c>
      <c r="M17" s="14" t="inlineStr">
        <is>
          <t>Stadium roar in the first second, then text: 'Arsenal v Real Madrid. 9 December. You in?'</t>
        </is>
      </c>
      <c r="N17" s="14" t="inlineStr">
        <is>
          <t>Arsenal v Real Madrid · London · 9 Dec</t>
        </is>
      </c>
      <c r="O17" s="16" t="inlineStr">
        <is>
          <t>أرسنال × ريال مدريد · لندن · ٩ ديسمبر</t>
        </is>
      </c>
      <c r="P17" s="16" t="inlineStr">
        <is>
          <t>أكبر مباراة بدوري الأبطال قبل الكريسماس: أرسنال × ريال مدريد في لندن، ٩ ديسمبر ⚽
خلّها أسبوع كرة: ديربي شمال لندن ٥ ديسمبر + المباراة + Winter Wonderland.
نرتبها لك من الـETA للمدرج. أرسل «لندن» على الواتساب.</t>
        </is>
      </c>
      <c r="Q17" s="14" t="inlineStr">
        <is>
          <t>The biggest Champions League game before Christmas: Arsenal v Real Madrid in London, 9 December. Make it a week of football: the North London derby on 5 Dec + the match + Winter Wonderland. We arrange it from the ETA to your seat. Send 'London' on WhatsApp.</t>
        </is>
      </c>
      <c r="R17" s="14" t="inlineStr">
        <is>
          <t>تذاكر ريال مدريد, رحلة مباراة لندن, دوري أبطال أوروبا تذاكر, Arsenal Real Madrid tickets</t>
        </is>
      </c>
      <c r="S17" s="16" t="inlineStr">
        <is>
          <t>#ريال_مدريد #دوري_أبطال_أوروبا #لندن #سفر #مادا</t>
        </is>
      </c>
      <c r="T17" s="14" t="inlineStr">
        <is>
          <t>WhatsApp 'لندن'</t>
        </is>
      </c>
      <c r="U17" s="14" t="inlineStr">
        <is>
          <t>Fan-voyage edit: crowd sound, London streets at night, a ticket mock-up 'Gate · Row · Seat', Winter Wonderland lights. Fast cuts on the beat. No match broadcast footage or club crests.</t>
        </is>
      </c>
      <c r="V17" s="14" t="inlineStr">
        <is>
          <t>Ticket availability through official/resale partners must be confirmed by ops before posting. No club logos or broadcast footage.</t>
        </is>
      </c>
      <c r="W17" s="14" t="inlineStr"/>
      <c r="X17" s="14" t="inlineStr">
        <is>
          <t>Scripted</t>
        </is>
      </c>
      <c r="Y17" s="17" t="n"/>
      <c r="Z17" s="17" t="n"/>
      <c r="AA17" s="17" t="n"/>
      <c r="AB17" s="17" t="n"/>
      <c r="AC17" s="17" t="n"/>
      <c r="AD17" s="17" t="n"/>
      <c r="AE17" s="18">
        <f>IF(OR(Y17="",Y17=0),"",(AA17+AB17+AC17+AD17)/Y17)</f>
        <v/>
      </c>
    </row>
    <row r="18">
      <c r="A18" s="19" t="n">
        <v>17</v>
      </c>
      <c r="B18" s="19" t="inlineStr">
        <is>
          <t>05-TT-2000</t>
        </is>
      </c>
      <c r="C18" s="20" t="n">
        <v>46331</v>
      </c>
      <c r="D18" s="19" t="inlineStr">
        <is>
          <t>Thu</t>
        </is>
      </c>
      <c r="E18" s="19" t="inlineStr">
        <is>
          <t>20:00</t>
        </is>
      </c>
      <c r="F18" s="19" t="inlineStr">
        <is>
          <t>TikTok</t>
        </is>
      </c>
      <c r="G18" s="14" t="inlineStr">
        <is>
          <t>Video 55s</t>
        </is>
      </c>
      <c r="H18" s="14" t="inlineStr">
        <is>
          <t>Saudi &amp; Gulf Horizons</t>
        </is>
      </c>
      <c r="I18" s="14" t="inlineStr">
        <is>
          <t>Saudi</t>
        </is>
      </c>
      <c r="J18" s="14" t="inlineStr"/>
      <c r="K18" s="14" t="inlineStr">
        <is>
          <t>Riyadh Season 2026</t>
        </is>
      </c>
      <c r="L18" s="15" t="inlineStr">
        <is>
          <t>Riyadh Season zones in 60 seconds</t>
        </is>
      </c>
      <c r="M18" s="16" t="inlineStr">
        <is>
          <t>VO: موسم الرياض بدقيقة. يلا 🏃</t>
        </is>
      </c>
      <c r="N18" s="14" t="inlineStr">
        <is>
          <t>Riyadh Season in 60s</t>
        </is>
      </c>
      <c r="O18" s="16" t="inlineStr">
        <is>
          <t>موسم الرياض بدقيقة</t>
        </is>
      </c>
      <c r="P18" s="16" t="inlineStr">
        <is>
          <t>موسم الرياض ٢٠٢٦ بدقيقة ⏱️ وش المنطقة اللي بتبدأ فيها؟
بوليفارد وورلد، بوليفارد سيتي، ونستر غاردن، ذا قروفز، سوق المزارعين، وأنا عربية في ڤيا رياض.</t>
        </is>
      </c>
      <c r="Q18" s="14" t="inlineStr">
        <is>
          <t>Riyadh Season 2026 in a minute: Boulevard World, Boulevard City, Wonder Garden, The Groves, the Farmers' Market and Ana Arabia at VIA Riyadh. Where do you start?</t>
        </is>
      </c>
      <c r="R18" s="14" t="inlineStr">
        <is>
          <t>مناطق موسم الرياض, موسم الرياض ٢٠٢٦, Riyadh Season zones</t>
        </is>
      </c>
      <c r="S18" s="16" t="inlineStr">
        <is>
          <t>#موسم_الرياض #RiyadhSeason #الرياض #فعاليات #مادا</t>
        </is>
      </c>
      <c r="T18" s="14" t="inlineStr">
        <is>
          <t>Comment your first zone</t>
        </is>
      </c>
      <c r="U18" s="14" t="inlineStr">
        <is>
          <t>Walk-and-talk, one zone per 8s, a location pin pops for each. Keep the zone names on screen for search.</t>
        </is>
      </c>
      <c r="V18" s="14" t="inlineStr"/>
      <c r="W18" s="14" t="inlineStr"/>
      <c r="X18" s="14" t="inlineStr">
        <is>
          <t>Scripted</t>
        </is>
      </c>
      <c r="Y18" s="17" t="n"/>
      <c r="Z18" s="17" t="n"/>
      <c r="AA18" s="17" t="n"/>
      <c r="AB18" s="17" t="n"/>
      <c r="AC18" s="17" t="n"/>
      <c r="AD18" s="17" t="n"/>
      <c r="AE18" s="18">
        <f>IF(OR(Y18="",Y18=0),"",(AA18+AB18+AC18+AD18)/Y18)</f>
        <v/>
      </c>
    </row>
    <row r="19">
      <c r="A19" s="19" t="n">
        <v>18</v>
      </c>
      <c r="B19" s="19" t="inlineStr">
        <is>
          <t>05-TT-2200</t>
        </is>
      </c>
      <c r="C19" s="20" t="n">
        <v>46331</v>
      </c>
      <c r="D19" s="19" t="inlineStr">
        <is>
          <t>Thu</t>
        </is>
      </c>
      <c r="E19" s="19" t="inlineStr">
        <is>
          <t>22:00</t>
        </is>
      </c>
      <c r="F19" s="19" t="inlineStr">
        <is>
          <t>TikTok</t>
        </is>
      </c>
      <c r="G19" s="14" t="inlineStr">
        <is>
          <t>Photo carousel 8</t>
        </is>
      </c>
      <c r="H19" s="14" t="inlineStr">
        <is>
          <t>World Horizons</t>
        </is>
      </c>
      <c r="I19" s="14" t="inlineStr">
        <is>
          <t>Global</t>
        </is>
      </c>
      <c r="J19" s="14" t="inlineStr"/>
      <c r="K19" s="14" t="inlineStr">
        <is>
          <t>Saudia RUH-NRT nonstop from 17 Nov · Kyoto foliage</t>
        </is>
      </c>
      <c r="L19" s="15" t="inlineStr">
        <is>
          <t>Rate my itinerary: 7 days in Japan</t>
        </is>
      </c>
      <c r="M19" s="16" t="inlineStr">
        <is>
          <t>Slide 1: قيّم برنامجنا: ٧ أيام في اليابان 🇯🇵 (طيران مباشر من الرياض قريب!)</t>
        </is>
      </c>
      <c r="N19" s="14" t="inlineStr">
        <is>
          <t>Rate my itinerary: 7 days in Japan</t>
        </is>
      </c>
      <c r="O19" s="16" t="inlineStr">
        <is>
          <t>قيّم برنامجي: ٧ أيام في اليابان</t>
        </is>
      </c>
      <c r="P19" s="16" t="inlineStr">
        <is>
          <t>قيّم برنامجنا من ١٠ 🇯🇵 وش تضيف؟
طوكيو ٣ أيام · كيوتو ٢ (موسم أوراق الخريف) · أوساكا ١ · جبل فوجي ١
ومن ١٧ نوفمبر فيه طيران مباشر من الرياض لطوكيو ✈️</t>
        </is>
      </c>
      <c r="Q19" s="14" t="inlineStr">
        <is>
          <t>Rate our 7-day Japan itinerary: Tokyo 3, Kyoto 2 (autumn leaves season), Osaka 1, Mt Fuji 1. And from 17 November there's a nonstop from Riyadh to Tokyo.</t>
        </is>
      </c>
      <c r="R19" s="14" t="inlineStr">
        <is>
          <t>برنامج اليابان ٧ ايام, السفر لليابان من السعودية, Japan itinerary 7 days</t>
        </is>
      </c>
      <c r="S19" s="16" t="inlineStr">
        <is>
          <t>#اليابان #طوكيو #كيوتو #برنامج_سياحي #مادا</t>
        </is>
      </c>
      <c r="T19" s="14" t="inlineStr">
        <is>
          <t>Rate it in comments</t>
        </is>
      </c>
      <c r="U19" s="14" t="inlineStr">
        <is>
          <t>Photo Mode, one day per slide with big Arabic text, halal food tip on the Tokyo slide, prayer-room tip on the Kyoto slide.</t>
        </is>
      </c>
      <c r="V19" s="14" t="inlineStr"/>
      <c r="W19" s="14" t="inlineStr"/>
      <c r="X19" s="14" t="inlineStr">
        <is>
          <t>Scripted</t>
        </is>
      </c>
      <c r="Y19" s="17" t="n"/>
      <c r="Z19" s="17" t="n"/>
      <c r="AA19" s="17" t="n"/>
      <c r="AB19" s="17" t="n"/>
      <c r="AC19" s="17" t="n"/>
      <c r="AD19" s="17" t="n"/>
      <c r="AE19" s="18">
        <f>IF(OR(Y19="",Y19=0),"",(AA19+AB19+AC19+AD19)/Y19)</f>
        <v/>
      </c>
    </row>
    <row r="20">
      <c r="A20" s="21" t="n">
        <v>19</v>
      </c>
      <c r="B20" s="21" t="inlineStr">
        <is>
          <t>05-X-1300</t>
        </is>
      </c>
      <c r="C20" s="22" t="n">
        <v>46331</v>
      </c>
      <c r="D20" s="21" t="inlineStr">
        <is>
          <t>Thu</t>
        </is>
      </c>
      <c r="E20" s="21" t="inlineStr">
        <is>
          <t>13:00</t>
        </is>
      </c>
      <c r="F20" s="21" t="inlineStr">
        <is>
          <t>X</t>
        </is>
      </c>
      <c r="G20" s="14" t="inlineStr">
        <is>
          <t>Thread 4</t>
        </is>
      </c>
      <c r="H20" s="14" t="inlineStr">
        <is>
          <t>Saudi &amp; Gulf Horizons</t>
        </is>
      </c>
      <c r="I20" s="14" t="inlineStr">
        <is>
          <t>Saudi</t>
        </is>
      </c>
      <c r="J20" s="14" t="inlineStr">
        <is>
          <t>Weekend Radar</t>
        </is>
      </c>
      <c r="K20" s="14" t="inlineStr">
        <is>
          <t>Weekend</t>
        </is>
      </c>
      <c r="L20" s="15" t="inlineStr">
        <is>
          <t>Weekend Radar on X</t>
        </is>
      </c>
      <c r="M20" s="16" t="inlineStr">
        <is>
          <t>وش نسوي هالويكند؟ 📡</t>
        </is>
      </c>
      <c r="N20" s="14" t="inlineStr"/>
      <c r="O20" s="14" t="inlineStr"/>
      <c r="P20" s="16" t="inlineStr">
        <is>
          <t>وش نسوي هالويكند؟ 📡 رادار مادا:
١/ موسم الرياض: أجنحة جديدة ببوليفارد وورلد (هولندا، البرتغال، اليمن)
٢/ العلا: مهرجان سماء العلا يبدأ الجمعة ٦ نوفمبر
٣/ السبت ٧ نوفمبر: WWE Crown Jewel
تبي تذاكر أو حجز أو توصيل؟ كلمنا.</t>
        </is>
      </c>
      <c r="Q20" s="14" t="inlineStr">
        <is>
          <t>What's on this weekend: Riyadh Season's new pavilions, AlUla Skies opens Friday, WWE Crown Jewel on Saturday. Need tickets, a booking or a ride? Talk to us.</t>
        </is>
      </c>
      <c r="R20" s="14" t="inlineStr">
        <is>
          <t>فعاليات الويكند</t>
        </is>
      </c>
      <c r="S20" s="16" t="inlineStr">
        <is>
          <t>#موسم_الرياض</t>
        </is>
      </c>
      <c r="T20" s="14" t="inlineStr">
        <is>
          <t>Reply / DM</t>
        </is>
      </c>
      <c r="U20" s="14" t="inlineStr">
        <is>
          <t>Image on tweet 1 = cover slide of the IG Weekend Radar.</t>
        </is>
      </c>
      <c r="V20" s="14" t="inlineStr"/>
      <c r="W20" s="14" t="inlineStr"/>
      <c r="X20" s="14" t="inlineStr">
        <is>
          <t>Scripted</t>
        </is>
      </c>
      <c r="Y20" s="17" t="n"/>
      <c r="Z20" s="17" t="n"/>
      <c r="AA20" s="17" t="n"/>
      <c r="AB20" s="17" t="n"/>
      <c r="AC20" s="17" t="n"/>
      <c r="AD20" s="17" t="n"/>
      <c r="AE20" s="18">
        <f>IF(OR(Y20="",Y20=0),"",(AA20+AB20+AC20+AD20)/Y20)</f>
        <v/>
      </c>
    </row>
    <row r="21">
      <c r="A21" s="12" t="n">
        <v>20</v>
      </c>
      <c r="B21" s="12" t="inlineStr">
        <is>
          <t>06-IG-2030</t>
        </is>
      </c>
      <c r="C21" s="13" t="n">
        <v>46332</v>
      </c>
      <c r="D21" s="12" t="inlineStr">
        <is>
          <t>Fri</t>
        </is>
      </c>
      <c r="E21" s="12" t="inlineStr">
        <is>
          <t>20:30</t>
        </is>
      </c>
      <c r="F21" s="12" t="inlineStr">
        <is>
          <t>Instagram</t>
        </is>
      </c>
      <c r="G21" s="14" t="inlineStr">
        <is>
          <t>Reel 20s</t>
        </is>
      </c>
      <c r="H21" s="14" t="inlineStr">
        <is>
          <t>Saudi &amp; Gulf Horizons</t>
        </is>
      </c>
      <c r="I21" s="14" t="inlineStr">
        <is>
          <t>Saudi</t>
        </is>
      </c>
      <c r="J21" s="14" t="inlineStr"/>
      <c r="K21" s="14" t="inlineStr">
        <is>
          <t>AlUla Skies opening day</t>
        </is>
      </c>
      <c r="L21" s="15" t="inlineStr">
        <is>
          <t>06:00 in AlUla (balloon ASMR)</t>
        </is>
      </c>
      <c r="M21" s="14" t="inlineStr">
        <is>
          <t>Sound of the burner first, then black → sunrise</t>
        </is>
      </c>
      <c r="N21" s="14" t="inlineStr">
        <is>
          <t>06:00 · AlUla</t>
        </is>
      </c>
      <c r="O21" s="16" t="inlineStr">
        <is>
          <t>٦ الفجر · العلا</t>
        </is>
      </c>
      <c r="P21" s="16" t="inlineStr">
        <is>
          <t>٦ الفجر في العلا 🎈
بدون كلام. ارفع الصوت.</t>
        </is>
      </c>
      <c r="Q21" s="14" t="inlineStr">
        <is>
          <t>6 a.m. in AlUla. No words. Sound on.</t>
        </is>
      </c>
      <c r="R21" s="14" t="inlineStr">
        <is>
          <t>منطاد العلا, AlUla hot air balloon, سماء العلا</t>
        </is>
      </c>
      <c r="S21" s="16" t="inlineStr">
        <is>
          <t>#العلا #سماء_العلا #منطاد #AlUla #مادا</t>
        </is>
      </c>
      <c r="T21" s="14" t="inlineStr">
        <is>
          <t>Share to someone who'd love this</t>
        </is>
      </c>
      <c r="U21" s="14" t="inlineStr">
        <is>
          <t>Pure ASMR: burner roar, wind, quiet gasps. Wide sunrise over the sandstone, then a detail of hands on the basket. No music. No text except the time stamp.</t>
        </is>
      </c>
      <c r="V21" s="14" t="inlineStr">
        <is>
          <t>Needs our own crew/creator in AlUla 6-8 Nov. Fallback: swap with the 'One Call #1' cut-down. Do not repost festival footage.</t>
        </is>
      </c>
      <c r="W21" s="14" t="inlineStr"/>
      <c r="X21" s="14" t="inlineStr">
        <is>
          <t>Scripted</t>
        </is>
      </c>
      <c r="Y21" s="17" t="n"/>
      <c r="Z21" s="17" t="n"/>
      <c r="AA21" s="17" t="n"/>
      <c r="AB21" s="17" t="n"/>
      <c r="AC21" s="17" t="n"/>
      <c r="AD21" s="17" t="n"/>
      <c r="AE21" s="18">
        <f>IF(OR(Y21="",Y21=0),"",(AA21+AB21+AC21+AD21)/Y21)</f>
        <v/>
      </c>
    </row>
    <row r="22">
      <c r="A22" s="19" t="n">
        <v>21</v>
      </c>
      <c r="B22" s="19" t="inlineStr">
        <is>
          <t>06-TT-2100</t>
        </is>
      </c>
      <c r="C22" s="20" t="n">
        <v>46332</v>
      </c>
      <c r="D22" s="19" t="inlineStr">
        <is>
          <t>Fri</t>
        </is>
      </c>
      <c r="E22" s="19" t="inlineStr">
        <is>
          <t>21:00</t>
        </is>
      </c>
      <c r="F22" s="19" t="inlineStr">
        <is>
          <t>TikTok</t>
        </is>
      </c>
      <c r="G22" s="14" t="inlineStr">
        <is>
          <t>Video 40s</t>
        </is>
      </c>
      <c r="H22" s="14" t="inlineStr">
        <is>
          <t>Saudi &amp; Gulf Horizons</t>
        </is>
      </c>
      <c r="I22" s="14" t="inlineStr">
        <is>
          <t>GCC</t>
        </is>
      </c>
      <c r="J22" s="14" t="inlineStr"/>
      <c r="K22" s="14" t="inlineStr">
        <is>
          <t>Global Village season 31 (from 14 Oct)</t>
        </is>
      </c>
      <c r="L22" s="15" t="inlineStr">
        <is>
          <t>Global Village: the 1h50 weekend</t>
        </is>
      </c>
      <c r="M22" s="16" t="inlineStr">
        <is>
          <t>On-screen: ويكند كامل برا السعودية… وأنت راجع السبت 👀</t>
        </is>
      </c>
      <c r="N22" s="14" t="inlineStr">
        <is>
          <t>Dubai weekend: Global Village</t>
        </is>
      </c>
      <c r="O22" s="16" t="inlineStr">
        <is>
          <t>ويكند دبي: القرية العالمية</t>
        </is>
      </c>
      <c r="P22" s="16" t="inlineStr">
        <is>
          <t>ساعة و٥٠ دقيقة من الرياض… والقرية العالمية فتحت موسمها الجديد 🎡
خطة ويكند كامل بدبي، وترجع السبت.</t>
        </is>
      </c>
      <c r="Q22" s="14" t="inlineStr">
        <is>
          <t>1h50 from Riyadh, and Global Village has opened its new season. A full Dubai weekend plan, home by Saturday.</t>
        </is>
      </c>
      <c r="R22" s="14" t="inlineStr">
        <is>
          <t>القرية العالمية دبي, ويكند دبي, Global Village Dubai 2026</t>
        </is>
      </c>
      <c r="S22" s="16" t="inlineStr">
        <is>
          <t>#القرية_العالمية #دبي #ويكند #سفر #مادا</t>
        </is>
      </c>
      <c r="T22" s="14" t="inlineStr">
        <is>
          <t>Comment 'دبي' for the plan</t>
        </is>
      </c>
      <c r="U22" s="14" t="inlineStr">
        <is>
          <t>Timeline: Thu night flight → Fri brunch → Global Village after Maghrib → Sat morning beach → home. Use our own or creator footage (Collab).</t>
        </is>
      </c>
      <c r="V22" s="14" t="inlineStr">
        <is>
          <t>Check the airline is operating that week (some carriers were suspended in October).</t>
        </is>
      </c>
      <c r="W22" s="14" t="inlineStr"/>
      <c r="X22" s="14" t="inlineStr">
        <is>
          <t>Scripted</t>
        </is>
      </c>
      <c r="Y22" s="17" t="n"/>
      <c r="Z22" s="17" t="n"/>
      <c r="AA22" s="17" t="n"/>
      <c r="AB22" s="17" t="n"/>
      <c r="AC22" s="17" t="n"/>
      <c r="AD22" s="17" t="n"/>
      <c r="AE22" s="18">
        <f>IF(OR(Y22="",Y22=0),"",(AA22+AB22+AC22+AD22)/Y22)</f>
        <v/>
      </c>
    </row>
    <row r="23">
      <c r="A23" s="21" t="n">
        <v>22</v>
      </c>
      <c r="B23" s="21" t="inlineStr">
        <is>
          <t>06-X-1830</t>
        </is>
      </c>
      <c r="C23" s="22" t="n">
        <v>46332</v>
      </c>
      <c r="D23" s="21" t="inlineStr">
        <is>
          <t>Fri</t>
        </is>
      </c>
      <c r="E23" s="21" t="inlineStr">
        <is>
          <t>18:30</t>
        </is>
      </c>
      <c r="F23" s="21" t="inlineStr">
        <is>
          <t>X</t>
        </is>
      </c>
      <c r="G23" s="14" t="inlineStr">
        <is>
          <t>Post + image</t>
        </is>
      </c>
      <c r="H23" s="14" t="inlineStr">
        <is>
          <t>Saudi &amp; Gulf Horizons</t>
        </is>
      </c>
      <c r="I23" s="14" t="inlineStr">
        <is>
          <t>Saudi</t>
        </is>
      </c>
      <c r="J23" s="14" t="inlineStr"/>
      <c r="K23" s="14" t="inlineStr">
        <is>
          <t>AlUla Skies</t>
        </is>
      </c>
      <c r="L23" s="15" t="inlineStr">
        <is>
          <t>AlUla Skies opens today</t>
        </is>
      </c>
      <c r="M23" s="16" t="inlineStr">
        <is>
          <t>اليوم يبدأ مهرجان سماء العلا 🎈</t>
        </is>
      </c>
      <c r="N23" s="14" t="inlineStr"/>
      <c r="O23" s="14" t="inlineStr"/>
      <c r="P23" s="16" t="inlineStr">
        <is>
          <t>اليوم يبدأ مهرجان سماء العلا 🎈
نصيحة من فريقنا: أظلم الليالي من ٧ لين ١٢ نوفمبر. إذا جيت عشان النجوم، هذي ليالينا.</t>
        </is>
      </c>
      <c r="Q23" s="14" t="inlineStr">
        <is>
          <t>AlUla Skies Festival starts today. Tip from our team: the darkest nights are 7-12 November. If you're coming for the stars, these are the nights.</t>
        </is>
      </c>
      <c r="R23" s="14" t="inlineStr">
        <is>
          <t>سماء العلا</t>
        </is>
      </c>
      <c r="S23" s="16" t="inlineStr">
        <is>
          <t>#سماء_العلا</t>
        </is>
      </c>
      <c r="T23" s="14" t="inlineStr">
        <is>
          <t>Bookmark</t>
        </is>
      </c>
      <c r="U23" s="14" t="inlineStr">
        <is>
          <t>One original night-sky photo.</t>
        </is>
      </c>
      <c r="V23" s="14" t="inlineStr">
        <is>
          <t>Post after Maghrib. Avoid the Friday prayer window.</t>
        </is>
      </c>
      <c r="W23" s="14" t="inlineStr"/>
      <c r="X23" s="14" t="inlineStr">
        <is>
          <t>Scripted</t>
        </is>
      </c>
      <c r="Y23" s="17" t="n"/>
      <c r="Z23" s="17" t="n"/>
      <c r="AA23" s="17" t="n"/>
      <c r="AB23" s="17" t="n"/>
      <c r="AC23" s="17" t="n"/>
      <c r="AD23" s="17" t="n"/>
      <c r="AE23" s="18">
        <f>IF(OR(Y23="",Y23=0),"",(AA23+AB23+AC23+AD23)/Y23)</f>
        <v/>
      </c>
    </row>
    <row r="24">
      <c r="A24" s="12" t="n">
        <v>23</v>
      </c>
      <c r="B24" s="12" t="inlineStr">
        <is>
          <t>07-IG-2000</t>
        </is>
      </c>
      <c r="C24" s="13" t="n">
        <v>46333</v>
      </c>
      <c r="D24" s="12" t="inlineStr">
        <is>
          <t>Sat</t>
        </is>
      </c>
      <c r="E24" s="12" t="inlineStr">
        <is>
          <t>20:00</t>
        </is>
      </c>
      <c r="F24" s="12" t="inlineStr">
        <is>
          <t>Instagram</t>
        </is>
      </c>
      <c r="G24" s="14" t="inlineStr">
        <is>
          <t>Carousel 6</t>
        </is>
      </c>
      <c r="H24" s="14" t="inlineStr">
        <is>
          <t>Know Before You Go</t>
        </is>
      </c>
      <c r="I24" s="14" t="inlineStr">
        <is>
          <t>Saudi</t>
        </is>
      </c>
      <c r="J24" s="14" t="inlineStr"/>
      <c r="K24" s="14" t="inlineStr">
        <is>
          <t>WWE Crown Jewel (7 Nov)</t>
        </is>
      </c>
      <c r="L24" s="15" t="inlineStr">
        <is>
          <t>Big night in Riyadh: the stress-free plan</t>
        </is>
      </c>
      <c r="M24" s="14" t="inlineStr">
        <is>
          <t>Slide 1: Event night in Riyadh? Here's the plan that never fails</t>
        </is>
      </c>
      <c r="N24" s="14" t="inlineStr">
        <is>
          <t>Event night in Riyadh: the no-stress plan</t>
        </is>
      </c>
      <c r="O24" s="16" t="inlineStr">
        <is>
          <t>ليلة فعالية بالرياض؟ الخطة اللي ما تخذلك</t>
        </is>
      </c>
      <c r="P24" s="16" t="inlineStr">
        <is>
          <t>عندك فعالية الليلة؟ 🎟️
الخطة اللي نعطيها عملاءنا: وصول بدري، نقطة التقاء واضحة، عشاء محجوز قبل، وتوصيل جاهز بعد.
احفظها لأي ليلة كبيرة.</t>
        </is>
      </c>
      <c r="Q24" s="14" t="inlineStr">
        <is>
          <t>Got an event tonight? The plan we give our clients: arrive early, agree a meeting point, book dinner before, have your ride ready after. Save it for any big night.</t>
        </is>
      </c>
      <c r="R24" s="14" t="inlineStr">
        <is>
          <t>فعاليات الرياض, Crown Jewel Riyadh, حفلات الرياض</t>
        </is>
      </c>
      <c r="S24" s="16" t="inlineStr">
        <is>
          <t>#فعاليات_الرياض #موسم_الرياض #الرياض #مادا #RiyadhSeason</t>
        </is>
      </c>
      <c r="T24" s="14" t="inlineStr">
        <is>
          <t>Save</t>
        </is>
      </c>
      <c r="U24" s="14" t="inlineStr">
        <is>
          <t>Checklist design, 5 slides with icons + 1 CTA slide. Timeline graphic 18:00 → 00:30.</t>
        </is>
      </c>
      <c r="V24" s="14" t="inlineStr"/>
      <c r="W24" s="14" t="inlineStr"/>
      <c r="X24" s="14" t="inlineStr">
        <is>
          <t>Scripted</t>
        </is>
      </c>
      <c r="Y24" s="17" t="n"/>
      <c r="Z24" s="17" t="n"/>
      <c r="AA24" s="17" t="n"/>
      <c r="AB24" s="17" t="n"/>
      <c r="AC24" s="17" t="n"/>
      <c r="AD24" s="17" t="n"/>
      <c r="AE24" s="18">
        <f>IF(OR(Y24="",Y24=0),"",(AA24+AB24+AC24+AD24)/Y24)</f>
        <v/>
      </c>
    </row>
    <row r="25">
      <c r="A25" s="19" t="n">
        <v>24</v>
      </c>
      <c r="B25" s="19" t="inlineStr">
        <is>
          <t>07-TT-2130</t>
        </is>
      </c>
      <c r="C25" s="20" t="n">
        <v>46333</v>
      </c>
      <c r="D25" s="19" t="inlineStr">
        <is>
          <t>Sat</t>
        </is>
      </c>
      <c r="E25" s="19" t="inlineStr">
        <is>
          <t>21:30</t>
        </is>
      </c>
      <c r="F25" s="19" t="inlineStr">
        <is>
          <t>TikTok</t>
        </is>
      </c>
      <c r="G25" s="14" t="inlineStr">
        <is>
          <t>Video 20s</t>
        </is>
      </c>
      <c r="H25" s="14" t="inlineStr">
        <is>
          <t>Moments &amp; Offers</t>
        </is>
      </c>
      <c r="I25" s="14" t="inlineStr">
        <is>
          <t>Saudi</t>
        </is>
      </c>
      <c r="J25" s="14" t="inlineStr"/>
      <c r="K25" s="14" t="inlineStr">
        <is>
          <t>WWE Crown Jewel night</t>
        </is>
      </c>
      <c r="L25" s="15" t="inlineStr">
        <is>
          <t>Riyadh tonight</t>
        </is>
      </c>
      <c r="M25" s="16" t="inlineStr">
        <is>
          <t>On-screen: الرياض الليلة 🔥</t>
        </is>
      </c>
      <c r="N25" s="14" t="inlineStr">
        <is>
          <t>Riyadh tonight</t>
        </is>
      </c>
      <c r="O25" s="16" t="inlineStr">
        <is>
          <t>الرياض الليلة</t>
        </is>
      </c>
      <c r="P25" s="16" t="inlineStr">
        <is>
          <t>الرياض الليلة غير 🔥 وين كنتم؟</t>
        </is>
      </c>
      <c r="Q25" s="14" t="inlineStr">
        <is>
          <t>Riyadh tonight hits different. Where were you?</t>
        </is>
      </c>
      <c r="R25" s="14" t="inlineStr">
        <is>
          <t>الرياض الليلة, موسم الرياض</t>
        </is>
      </c>
      <c r="S25" s="16" t="inlineStr">
        <is>
          <t>#الرياض #موسم_الرياض #CrownJewel #RiyadhSeason #مادا</t>
        </is>
      </c>
      <c r="T25" s="14" t="inlineStr">
        <is>
          <t>Comment where you were</t>
        </is>
      </c>
      <c r="U25" s="14" t="inlineStr">
        <is>
          <t>Atmosphere-only edit: crowds, lights, food stalls, the boulevard skyline. No match or arena footage (rights). Trending sound.</t>
        </is>
      </c>
      <c r="V25" s="14" t="inlineStr">
        <is>
          <t>No WWE logos or broadcast footage.</t>
        </is>
      </c>
      <c r="W25" s="14" t="inlineStr"/>
      <c r="X25" s="14" t="inlineStr">
        <is>
          <t>Scripted</t>
        </is>
      </c>
      <c r="Y25" s="17" t="n"/>
      <c r="Z25" s="17" t="n"/>
      <c r="AA25" s="17" t="n"/>
      <c r="AB25" s="17" t="n"/>
      <c r="AC25" s="17" t="n"/>
      <c r="AD25" s="17" t="n"/>
      <c r="AE25" s="18">
        <f>IF(OR(Y25="",Y25=0),"",(AA25+AB25+AC25+AD25)/Y25)</f>
        <v/>
      </c>
    </row>
    <row r="26">
      <c r="A26" s="21" t="n">
        <v>25</v>
      </c>
      <c r="B26" s="21" t="inlineStr">
        <is>
          <t>07-X-1900</t>
        </is>
      </c>
      <c r="C26" s="22" t="n">
        <v>46333</v>
      </c>
      <c r="D26" s="21" t="inlineStr">
        <is>
          <t>Sat</t>
        </is>
      </c>
      <c r="E26" s="21" t="inlineStr">
        <is>
          <t>19:00</t>
        </is>
      </c>
      <c r="F26" s="21" t="inlineStr">
        <is>
          <t>X</t>
        </is>
      </c>
      <c r="G26" s="14" t="inlineStr">
        <is>
          <t>Post</t>
        </is>
      </c>
      <c r="H26" s="14" t="inlineStr">
        <is>
          <t>Moments &amp; Offers</t>
        </is>
      </c>
      <c r="I26" s="14" t="inlineStr">
        <is>
          <t>Saudi</t>
        </is>
      </c>
      <c r="J26" s="14" t="inlineStr"/>
      <c r="K26" s="14" t="inlineStr">
        <is>
          <t>WWE Crown Jewel</t>
        </is>
      </c>
      <c r="L26" s="15" t="inlineStr">
        <is>
          <t>Crown Jewel night tip</t>
        </is>
      </c>
      <c r="M26" s="16" t="inlineStr">
        <is>
          <t>رايح #CrownJewel الليلة؟</t>
        </is>
      </c>
      <c r="N26" s="14" t="inlineStr"/>
      <c r="O26" s="14" t="inlineStr"/>
      <c r="P26" s="16" t="inlineStr">
        <is>
          <t>رايح #CrownJewel الليلة؟ 🎟️
ثلاث نصايح: ١) وصل قبل البداية بساعة ٢) اتفق مع ربعك على نقطة التقاء ٣) حدد مكان الركوب للرجعة من الحين.
استمتعوا!</t>
        </is>
      </c>
      <c r="Q26" s="14" t="inlineStr">
        <is>
          <t>Going to Crown Jewel tonight? Arrive an hour early, agree a meeting point, pick your ride-home spot now. Enjoy!</t>
        </is>
      </c>
      <c r="R26" s="14" t="inlineStr">
        <is>
          <t>Crown Jewel الرياض</t>
        </is>
      </c>
      <c r="S26" s="14" t="inlineStr">
        <is>
          <t>#CrownJewel</t>
        </is>
      </c>
      <c r="T26" s="14" t="inlineStr">
        <is>
          <t>Reply</t>
        </is>
      </c>
      <c r="U26" s="14" t="inlineStr">
        <is>
          <t>Text only.</t>
        </is>
      </c>
      <c r="V26" s="14" t="inlineStr"/>
      <c r="W26" s="14" t="inlineStr"/>
      <c r="X26" s="14" t="inlineStr">
        <is>
          <t>Scripted</t>
        </is>
      </c>
      <c r="Y26" s="17" t="n"/>
      <c r="Z26" s="17" t="n"/>
      <c r="AA26" s="17" t="n"/>
      <c r="AB26" s="17" t="n"/>
      <c r="AC26" s="17" t="n"/>
      <c r="AD26" s="17" t="n"/>
      <c r="AE26" s="18">
        <f>IF(OR(Y26="",Y26=0),"",(AA26+AB26+AC26+AD26)/Y26)</f>
        <v/>
      </c>
    </row>
    <row r="27">
      <c r="A27" s="12" t="n">
        <v>26</v>
      </c>
      <c r="B27" s="12" t="inlineStr">
        <is>
          <t>08-IG-2030</t>
        </is>
      </c>
      <c r="C27" s="13" t="n">
        <v>46334</v>
      </c>
      <c r="D27" s="12" t="inlineStr">
        <is>
          <t>Sun</t>
        </is>
      </c>
      <c r="E27" s="12" t="inlineStr">
        <is>
          <t>20:30</t>
        </is>
      </c>
      <c r="F27" s="12" t="inlineStr">
        <is>
          <t>Instagram</t>
        </is>
      </c>
      <c r="G27" s="14" t="inlineStr">
        <is>
          <t>Reel 40s</t>
        </is>
      </c>
      <c r="H27" s="14" t="inlineStr">
        <is>
          <t>One Call</t>
        </is>
      </c>
      <c r="I27" s="14" t="inlineStr">
        <is>
          <t>All</t>
        </is>
      </c>
      <c r="J27" s="14" t="inlineStr">
        <is>
          <t>Concierge Confessions</t>
        </is>
      </c>
      <c r="K27" s="14" t="inlineStr">
        <is>
          <t>Evergreen</t>
        </is>
      </c>
      <c r="L27" s="15" t="inlineStr">
        <is>
          <t>Concierge Confessions #1: the 3am call</t>
        </is>
      </c>
      <c r="M27" s="14" t="inlineStr">
        <is>
          <t>Phone lights up at 03:12. 'Hello… Mada?'</t>
        </is>
      </c>
      <c r="N27" s="14" t="inlineStr">
        <is>
          <t>03:12 · a call we'll never forget</t>
        </is>
      </c>
      <c r="O27" s="16" t="inlineStr">
        <is>
          <t>٣:١٢ الفجر · مكالمة ما ننساها</t>
        </is>
      </c>
      <c r="P27" s="16" t="inlineStr">
        <is>
          <t>الساعة ٣:١٢ الفجر… واحد من عملاءنا في مطار بعيد، والرحلة ألغيت.
هذي القصة كاملة 👇
«من دفتر الكونسيرج»: قصص حقيقية من شغلنا اليومي.</t>
        </is>
      </c>
      <c r="Q27" s="14" t="inlineStr">
        <is>
          <t>03:12. A client at a faraway airport, flight cancelled. Here's the whole story. 'Concierge Confessions': real stories from our day-to-day.</t>
        </is>
      </c>
      <c r="R27" s="14" t="inlineStr">
        <is>
          <t>كونسيرج سفر, إلغاء رحلة, travel concierge</t>
        </is>
      </c>
      <c r="S27" s="16" t="inlineStr">
        <is>
          <t>#من_دفتر_الكونسيرج #مادا #سفر #MadaTrips #قصص_سفر</t>
        </is>
      </c>
      <c r="T27" s="14" t="inlineStr">
        <is>
          <t>Save + follow the series</t>
        </is>
      </c>
      <c r="U27" s="14" t="inlineStr">
        <is>
          <t>Storytime, concierge to camera in a dim office, cutaways to a phone screen and a departure board. Calm, human, slightly funny ending. 40s max.</t>
        </is>
      </c>
      <c r="V27" s="14" t="inlineStr">
        <is>
          <t>Real story, anonymised, with the client's OK.</t>
        </is>
      </c>
      <c r="W27" s="14" t="inlineStr"/>
      <c r="X27" s="14" t="inlineStr">
        <is>
          <t>Scripted</t>
        </is>
      </c>
      <c r="Y27" s="17" t="n"/>
      <c r="Z27" s="17" t="n"/>
      <c r="AA27" s="17" t="n"/>
      <c r="AB27" s="17" t="n"/>
      <c r="AC27" s="17" t="n"/>
      <c r="AD27" s="17" t="n"/>
      <c r="AE27" s="18">
        <f>IF(OR(Y27="",Y27=0),"",(AA27+AB27+AC27+AD27)/Y27)</f>
        <v/>
      </c>
    </row>
    <row r="28">
      <c r="A28" s="12" t="n">
        <v>27</v>
      </c>
      <c r="B28" s="12" t="inlineStr">
        <is>
          <t>08-IG-2130</t>
        </is>
      </c>
      <c r="C28" s="13" t="n">
        <v>46334</v>
      </c>
      <c r="D28" s="12" t="inlineStr">
        <is>
          <t>Sun</t>
        </is>
      </c>
      <c r="E28" s="12" t="inlineStr">
        <is>
          <t>21:30</t>
        </is>
      </c>
      <c r="F28" s="12" t="inlineStr">
        <is>
          <t>Instagram</t>
        </is>
      </c>
      <c r="G28" s="14" t="inlineStr">
        <is>
          <t>Carousel 10</t>
        </is>
      </c>
      <c r="H28" s="14" t="inlineStr">
        <is>
          <t>World Horizons</t>
        </is>
      </c>
      <c r="I28" s="14" t="inlineStr">
        <is>
          <t>Global</t>
        </is>
      </c>
      <c r="J28" s="14" t="inlineStr">
        <is>
          <t>World Radar</t>
        </is>
      </c>
      <c r="K28" s="14" t="inlineStr">
        <is>
          <t>Global events Nov-Dec</t>
        </is>
      </c>
      <c r="L28" s="15" t="inlineStr">
        <is>
          <t>World Radar #1: worth flying for, Nov-Dec</t>
        </is>
      </c>
      <c r="M28" s="14" t="inlineStr">
        <is>
          <t>Slide 1: The world's calendar, from Riyadh. 9 events worth flying for before New Year.</t>
        </is>
      </c>
      <c r="N28" s="14" t="inlineStr">
        <is>
          <t>World Radar · Nov-Dec</t>
        </is>
      </c>
      <c r="O28" s="16" t="inlineStr">
        <is>
          <t>رادار العالم · نوفمبر–ديسمبر</t>
        </is>
      </c>
      <c r="P28" s="16" t="inlineStr">
        <is>
          <t>رادار العالم 🌍 ٩ أحداث تستاهل السفرة قبل نهاية السنة:
• ٢١ نوفمبر: افتتاح موسم التزلج في الألب
• أواخر نوفمبر: ذروة أوراق الخريف في كيوتو
• ٢٧–٢٩: فورمولا ١ قطر (ساعة و٢٠ من الرياض)
• ٢٨: شاكيرا عند الأهرامات
• ٣–٦ ديسمبر: ختام الفورمولا ١ في أبوظبي
• من ٤ ديسمبر: مهرجان دبي للتسوق
• ٨ ديسمبر: برشلونة × مانشستر سيتي
• ٩ ديسمبر: أرسنال × ريال مدريد
• ٣١ ديسمبر: ليلة رأس السنة بدبي أو لندن
احفظه، وقلنا وين تبي تكون 👇</t>
        </is>
      </c>
      <c r="Q28" s="14" t="inlineStr">
        <is>
          <t>World Radar: 9 events worth flying for before New Year. Alps ski opening (21 Nov), Kyoto foliage peak (late Nov), F1 Qatar (27-29 Nov, 1h20 away), Shakira at the Pyramids (28 Nov), F1 Abu Dhabi finale (3-6 Dec), Dubai Shopping Festival (from 4 Dec), Barcelona v Man City (8 Dec), Arsenal v Real Madrid (9 Dec), New Year's Eve in Dubai or London. Save it and tell us where you want to be.</t>
        </is>
      </c>
      <c r="R28" s="14" t="inlineStr">
        <is>
          <t>فعاليات عالمية ديسمبر, وين اسافر ديسمبر, events worth travelling for</t>
        </is>
      </c>
      <c r="S28" s="16" t="inlineStr">
        <is>
          <t>#رادار_العالم #سفر #فعاليات_عالمية #دوري_أبطال_أوروبا #مادا</t>
        </is>
      </c>
      <c r="T28" s="14" t="inlineStr">
        <is>
          <t>Save + comment where you want to be</t>
        </is>
      </c>
      <c r="U28" s="14" t="inlineStr">
        <is>
          <t>Recurring template (every other Sunday): sand cover with a globe-sweep graphic. One event per slide: date, city, flight time from Riyadh, visa need (✓ / ETA / Schengen) and one tip. Last slide: 'One call. We'll get you there.'</t>
        </is>
      </c>
      <c r="V28" s="14" t="inlineStr">
        <is>
          <t>Re-check each date the day before posting (several Gulf events moved this season).</t>
        </is>
      </c>
      <c r="W28" s="14" t="inlineStr"/>
      <c r="X28" s="14" t="inlineStr">
        <is>
          <t>Scripted</t>
        </is>
      </c>
      <c r="Y28" s="17" t="n"/>
      <c r="Z28" s="17" t="n"/>
      <c r="AA28" s="17" t="n"/>
      <c r="AB28" s="17" t="n"/>
      <c r="AC28" s="17" t="n"/>
      <c r="AD28" s="17" t="n"/>
      <c r="AE28" s="18">
        <f>IF(OR(Y28="",Y28=0),"",(AA28+AB28+AC28+AD28)/Y28)</f>
        <v/>
      </c>
    </row>
    <row r="29">
      <c r="A29" s="19" t="n">
        <v>28</v>
      </c>
      <c r="B29" s="19" t="inlineStr">
        <is>
          <t>08-TT-2100</t>
        </is>
      </c>
      <c r="C29" s="20" t="n">
        <v>46334</v>
      </c>
      <c r="D29" s="19" t="inlineStr">
        <is>
          <t>Sun</t>
        </is>
      </c>
      <c r="E29" s="19" t="inlineStr">
        <is>
          <t>21:00</t>
        </is>
      </c>
      <c r="F29" s="19" t="inlineStr">
        <is>
          <t>TikTok</t>
        </is>
      </c>
      <c r="G29" s="14" t="inlineStr">
        <is>
          <t>Video 50s</t>
        </is>
      </c>
      <c r="H29" s="14" t="inlineStr">
        <is>
          <t>Know Before You Go</t>
        </is>
      </c>
      <c r="I29" s="14" t="inlineStr">
        <is>
          <t>Global</t>
        </is>
      </c>
      <c r="J29" s="14" t="inlineStr">
        <is>
          <t>Visa in 60</t>
        </is>
      </c>
      <c r="K29" s="14" t="inlineStr">
        <is>
          <t>Winter in London (Winter Wonderland from 19 Nov)</t>
        </is>
      </c>
      <c r="L29" s="15" t="inlineStr">
        <is>
          <t>UK ETA for Saudis</t>
        </is>
      </c>
      <c r="M29" s="16" t="inlineStr">
        <is>
          <t>On-screen + VO: بريطانيا بدون فيزا؟ إيه، بس لازم هذا 👇</t>
        </is>
      </c>
      <c r="N29" s="14" t="inlineStr">
        <is>
          <t>UK: no visa, but you need an ETA</t>
        </is>
      </c>
      <c r="O29" s="16" t="inlineStr">
        <is>
          <t>بريطانيا بدون فيزا… بس لازم ETA</t>
        </is>
      </c>
      <c r="P29" s="16" t="inlineStr">
        <is>
          <t>السعوديين يدخلون بريطانيا بالـETA بدل الفيزا 🇬🇧
كيف تطلعها، كم صلاحيتها، ووش الغلط اللي يأخر الموافقة 👇</t>
        </is>
      </c>
      <c r="Q29" s="14" t="inlineStr">
        <is>
          <t>Saudis enter the UK with an ETA instead of a visa. How to get it, how long it lasts and the mistake that delays approval.</t>
        </is>
      </c>
      <c r="R29" s="14" t="inlineStr">
        <is>
          <t>تأشيرة بريطانيا, ETA بريطانيا للسعوديين, UK ETA Saudi</t>
        </is>
      </c>
      <c r="S29" s="16" t="inlineStr">
        <is>
          <t>#بريطانيا #تأشيرة #لندن #سفر #مادا</t>
        </is>
      </c>
      <c r="T29" s="14" t="inlineStr">
        <is>
          <t>Save + send to your London crew</t>
        </is>
      </c>
      <c r="U29" s="14" t="inlineStr">
        <is>
          <t>Phone screen-record of the official UK ETA app (no personal data), concierge voice-over. Facts on screen: apply via the official app or gov.uk, multiple entries, valid 2 years or until the passport expires, stays up to 6 months. Fee: show the current gov.uk figure.</t>
        </is>
      </c>
      <c r="V29" s="14" t="inlineStr">
        <is>
          <t>Verify the fee on gov.uk/eta the day before. Third-party sources say £20 from Feb 2026.</t>
        </is>
      </c>
      <c r="W29" s="14" t="inlineStr"/>
      <c r="X29" s="14" t="inlineStr">
        <is>
          <t>Scripted</t>
        </is>
      </c>
      <c r="Y29" s="17" t="n"/>
      <c r="Z29" s="17" t="n"/>
      <c r="AA29" s="17" t="n"/>
      <c r="AB29" s="17" t="n"/>
      <c r="AC29" s="17" t="n"/>
      <c r="AD29" s="17" t="n"/>
      <c r="AE29" s="18">
        <f>IF(OR(Y29="",Y29=0),"",(AA29+AB29+AC29+AD29)/Y29)</f>
        <v/>
      </c>
    </row>
    <row r="30">
      <c r="A30" s="21" t="n">
        <v>29</v>
      </c>
      <c r="B30" s="21" t="inlineStr">
        <is>
          <t>08-X-1230</t>
        </is>
      </c>
      <c r="C30" s="22" t="n">
        <v>46334</v>
      </c>
      <c r="D30" s="21" t="inlineStr">
        <is>
          <t>Sun</t>
        </is>
      </c>
      <c r="E30" s="21" t="inlineStr">
        <is>
          <t>12:30</t>
        </is>
      </c>
      <c r="F30" s="21" t="inlineStr">
        <is>
          <t>X</t>
        </is>
      </c>
      <c r="G30" s="14" t="inlineStr">
        <is>
          <t>Thread 4</t>
        </is>
      </c>
      <c r="H30" s="14" t="inlineStr">
        <is>
          <t>Know Before You Go</t>
        </is>
      </c>
      <c r="I30" s="14" t="inlineStr">
        <is>
          <t>Global</t>
        </is>
      </c>
      <c r="J30" s="14" t="inlineStr">
        <is>
          <t>Visa in 60</t>
        </is>
      </c>
      <c r="K30" s="14" t="inlineStr">
        <is>
          <t>Evergreen visa</t>
        </is>
      </c>
      <c r="L30" s="15" t="inlineStr">
        <is>
          <t>UK ETA thread</t>
        </is>
      </c>
      <c r="M30" s="16" t="inlineStr">
        <is>
          <t>مسافر لندن هالشتاء؟ لا تنسى الـETA 🇬🇧🧵</t>
        </is>
      </c>
      <c r="N30" s="14" t="inlineStr"/>
      <c r="O30" s="14" t="inlineStr"/>
      <c r="P30" s="16" t="inlineStr">
        <is>
          <t>١/ مسافر لندن هالشتاء؟ السعوديين يحتاجون ETA مو فيزا 🧵
٢/ تطلعها من التطبيق الرسمي أو gov.uk، والموافقة عادة سريعة.
٣/ صالحة سنتين أو لين ينتهي الجواز، دخول متعدد، لين ٦ شهور لكل زيارة.
٤/ تأكد إن رقم الجواز نفسه اللي بتسافر فيه، هذا أكثر غلط نشوفه.</t>
        </is>
      </c>
      <c r="Q30" s="14" t="inlineStr">
        <is>
          <t>1/ Flying to London this winter? Saudis need an ETA, not a visa. 2/ Apply in the official app or on gov.uk. 3/ Valid 2 years or until the passport expires, multiple entries, up to 6 months per visit. 4/ Make sure it's the passport you'll travel on. That's the most common mistake we see.</t>
        </is>
      </c>
      <c r="R30" s="14" t="inlineStr">
        <is>
          <t>ETA بريطانيا</t>
        </is>
      </c>
      <c r="S30" s="16" t="inlineStr">
        <is>
          <t>#بريطانيا</t>
        </is>
      </c>
      <c r="T30" s="14" t="inlineStr">
        <is>
          <t>Bookmark</t>
        </is>
      </c>
      <c r="U30" s="14" t="inlineStr">
        <is>
          <t>Text thread.</t>
        </is>
      </c>
      <c r="V30" s="14" t="inlineStr">
        <is>
          <t>Verify on gov.uk.</t>
        </is>
      </c>
      <c r="W30" s="14" t="inlineStr"/>
      <c r="X30" s="14" t="inlineStr">
        <is>
          <t>Scripted</t>
        </is>
      </c>
      <c r="Y30" s="17" t="n"/>
      <c r="Z30" s="17" t="n"/>
      <c r="AA30" s="17" t="n"/>
      <c r="AB30" s="17" t="n"/>
      <c r="AC30" s="17" t="n"/>
      <c r="AD30" s="17" t="n"/>
      <c r="AE30" s="18">
        <f>IF(OR(Y30="",Y30=0),"",(AA30+AB30+AC30+AD30)/Y30)</f>
        <v/>
      </c>
    </row>
    <row r="31">
      <c r="A31" s="21" t="n">
        <v>30</v>
      </c>
      <c r="B31" s="21" t="inlineStr">
        <is>
          <t>08-X-1900</t>
        </is>
      </c>
      <c r="C31" s="22" t="n">
        <v>46334</v>
      </c>
      <c r="D31" s="21" t="inlineStr">
        <is>
          <t>Sun</t>
        </is>
      </c>
      <c r="E31" s="21" t="inlineStr">
        <is>
          <t>19:00</t>
        </is>
      </c>
      <c r="F31" s="21" t="inlineStr">
        <is>
          <t>X</t>
        </is>
      </c>
      <c r="G31" s="14" t="inlineStr">
        <is>
          <t>Thread 6</t>
        </is>
      </c>
      <c r="H31" s="14" t="inlineStr">
        <is>
          <t>World Horizons</t>
        </is>
      </c>
      <c r="I31" s="14" t="inlineStr">
        <is>
          <t>Global</t>
        </is>
      </c>
      <c r="J31" s="14" t="inlineStr">
        <is>
          <t>World Radar</t>
        </is>
      </c>
      <c r="K31" s="14" t="inlineStr">
        <is>
          <t>Global events</t>
        </is>
      </c>
      <c r="L31" s="15" t="inlineStr">
        <is>
          <t>World Radar #1 on X</t>
        </is>
      </c>
      <c r="M31" s="16" t="inlineStr">
        <is>
          <t>رادار العالم 🌍 أحداث تستاهل السفرة قبل نهاية السنة 🧵</t>
        </is>
      </c>
      <c r="N31" s="14" t="inlineStr"/>
      <c r="O31" s="14" t="inlineStr"/>
      <c r="P31" s="16" t="inlineStr">
        <is>
          <t>١/ رادار العالم 🌍 أحداث تستاهل السفرة قبل نهاية السنة 🧵
٢/ ٢٧–٢٩ نوفمبر: فورمولا ١ قطر. ساعة و٢٠ دقيقة من الرياض
٣/ ٢٨ نوفمبر: شاكيرا عند أهرامات الجيزة. ساعتين ونص
٤/ ٣–٦ ديسمبر: ختام الفورمولا ١ في أبوظبي + حفلات Yasalam
٥/ ٨ و٩ ديسمبر: برشلونة × سيتي، وأرسنال × ريال مدريد
٦/ من ٤ ديسمبر: مهرجان دبي للتسوق. أي وحدة تبي؟ نرتبها لك.</t>
        </is>
      </c>
      <c r="Q31" s="14" t="inlineStr">
        <is>
          <t>1/ World Radar: events worth flying for before year end. 2/ F1 Qatar 27-29 Nov, 1h20 from Riyadh. 3/ Shakira at the Pyramids 28 Nov, 2h30. 4/ F1 Abu Dhabi finale 3-6 Dec + Yasalam concerts. 5/ 8 &amp; 9 Dec: Barcelona v City, Arsenal v Real Madrid. 6/ Dubai Shopping Festival from 4 Dec. Which one? We'll arrange it.</t>
        </is>
      </c>
      <c r="R31" s="14" t="inlineStr">
        <is>
          <t>فعاليات عالمية</t>
        </is>
      </c>
      <c r="S31" s="16" t="inlineStr">
        <is>
          <t>#رادار_العالم</t>
        </is>
      </c>
      <c r="T31" s="14" t="inlineStr">
        <is>
          <t>Reply / DM</t>
        </is>
      </c>
      <c r="U31" s="14" t="inlineStr">
        <is>
          <t>Text thread, World Radar cover image on tweet 1.</t>
        </is>
      </c>
      <c r="V31" s="14" t="inlineStr"/>
      <c r="W31" s="14" t="inlineStr"/>
      <c r="X31" s="14" t="inlineStr">
        <is>
          <t>Scripted</t>
        </is>
      </c>
      <c r="Y31" s="17" t="n"/>
      <c r="Z31" s="17" t="n"/>
      <c r="AA31" s="17" t="n"/>
      <c r="AB31" s="17" t="n"/>
      <c r="AC31" s="17" t="n"/>
      <c r="AD31" s="17" t="n"/>
      <c r="AE31" s="18">
        <f>IF(OR(Y31="",Y31=0),"",(AA31+AB31+AC31+AD31)/Y31)</f>
        <v/>
      </c>
    </row>
    <row r="32">
      <c r="A32" s="23" t="n">
        <v>31</v>
      </c>
      <c r="B32" s="23" t="inlineStr">
        <is>
          <t>08-LI-0930</t>
        </is>
      </c>
      <c r="C32" s="24" t="n">
        <v>46334</v>
      </c>
      <c r="D32" s="23" t="inlineStr">
        <is>
          <t>Sun</t>
        </is>
      </c>
      <c r="E32" s="23" t="inlineStr">
        <is>
          <t>09:30</t>
        </is>
      </c>
      <c r="F32" s="23" t="inlineStr">
        <is>
          <t>LinkedIn</t>
        </is>
      </c>
      <c r="G32" s="14" t="inlineStr">
        <is>
          <t>Document 10 pages</t>
        </is>
      </c>
      <c r="H32" s="14" t="inlineStr">
        <is>
          <t>Events &amp; Business</t>
        </is>
      </c>
      <c r="I32" s="14" t="inlineStr">
        <is>
          <t>B2B</t>
        </is>
      </c>
      <c r="J32" s="14" t="inlineStr">
        <is>
          <t>Field Notes</t>
        </is>
      </c>
      <c r="K32" s="14" t="inlineStr">
        <is>
          <t>Evergreen B2B</t>
        </is>
      </c>
      <c r="L32" s="15" t="inlineStr">
        <is>
          <t>Field Notes #1: a 200-person delegation, the 12-week timeline</t>
        </is>
      </c>
      <c r="M32" s="14" t="inlineStr">
        <is>
          <t>Page 1: Week -12 to Day 0</t>
        </is>
      </c>
      <c r="N32" s="14" t="inlineStr">
        <is>
          <t>200 delegates. 12 weeks. One plan.</t>
        </is>
      </c>
      <c r="O32" s="14" t="inlineStr"/>
      <c r="P32" s="14" t="inlineStr"/>
      <c r="Q32" s="14" t="inlineStr">
        <is>
          <t>Field Notes #1. What it takes to bring 200 people to Riyadh for a three-day summit.
Week -12: brief, budget, dates, room block
Week -10: visa matrix by nationality
Week -8: flights in waves, transfer plan
Week -6: run of show v1, suppliers locked
Week -4: rooming list, badges, dietary needs
Week -2: rehearsal, transport dry-run
Day 0: arrivals desk live, status board open
The keynote gets the applause. The timeline gets everyone into the room.
What would you add?</t>
        </is>
      </c>
      <c r="R32" s="14" t="inlineStr">
        <is>
          <t>delegation management, conference planning Saudi Arabia, MICE Riyadh</t>
        </is>
      </c>
      <c r="S32" s="14" t="inlineStr">
        <is>
          <t>#FieldNotes #MICE #EventPlanning #Riyadh</t>
        </is>
      </c>
      <c r="T32" s="14" t="inlineStr">
        <is>
          <t>Comment what you'd add</t>
        </is>
      </c>
      <c r="U32" s="14" t="inlineStr">
        <is>
          <t>PDF document, a Gantt-style timeline across pages in brand green and gold.</t>
        </is>
      </c>
      <c r="V32" s="14" t="inlineStr"/>
      <c r="W32" s="14" t="inlineStr"/>
      <c r="X32" s="14" t="inlineStr">
        <is>
          <t>Scripted</t>
        </is>
      </c>
      <c r="Y32" s="17" t="n"/>
      <c r="Z32" s="17" t="n"/>
      <c r="AA32" s="17" t="n"/>
      <c r="AB32" s="17" t="n"/>
      <c r="AC32" s="17" t="n"/>
      <c r="AD32" s="17" t="n"/>
      <c r="AE32" s="18">
        <f>IF(OR(Y32="",Y32=0),"",(AA32+AB32+AC32+AD32)/Y32)</f>
        <v/>
      </c>
    </row>
    <row r="33">
      <c r="A33" s="12" t="n">
        <v>32</v>
      </c>
      <c r="B33" s="12" t="inlineStr">
        <is>
          <t>09-IG-2030</t>
        </is>
      </c>
      <c r="C33" s="13" t="n">
        <v>46335</v>
      </c>
      <c r="D33" s="12" t="inlineStr">
        <is>
          <t>Mon</t>
        </is>
      </c>
      <c r="E33" s="12" t="inlineStr">
        <is>
          <t>20:30</t>
        </is>
      </c>
      <c r="F33" s="12" t="inlineStr">
        <is>
          <t>Instagram</t>
        </is>
      </c>
      <c r="G33" s="14" t="inlineStr">
        <is>
          <t>Carousel 10</t>
        </is>
      </c>
      <c r="H33" s="14" t="inlineStr">
        <is>
          <t>Know Before You Go</t>
        </is>
      </c>
      <c r="I33" s="14" t="inlineStr">
        <is>
          <t>Global</t>
        </is>
      </c>
      <c r="J33" s="14" t="inlineStr">
        <is>
          <t>Visa in 60</t>
        </is>
      </c>
      <c r="K33" s="14" t="inlineStr">
        <is>
          <t>Evergreen + Azerbaijan (to 15 Feb 2027) and China (to 31 Dec) windows</t>
        </is>
      </c>
      <c r="L33" s="15" t="inlineStr">
        <is>
          <t>No visa (or almost) for Saudi passports this winter</t>
        </is>
      </c>
      <c r="M33" s="14" t="inlineStr">
        <is>
          <t>Slide 1: Your Saudi passport opens these doors this winter. No embassy visit needed.</t>
        </is>
      </c>
      <c r="N33" s="14" t="inlineStr">
        <is>
          <t>No visa needed this winter</t>
        </is>
      </c>
      <c r="O33" s="16" t="inlineStr">
        <is>
          <t>بدون فيزا هالشتاء</t>
        </is>
      </c>
      <c r="P33" s="16" t="inlineStr">
        <is>
          <t>جوازك السعودي يفتح لك هالدول هالشتاء بدون موعد سفارة 🇸🇦✈️
تركيا · جورجيا · أذربيجان (لين ١٥ فبراير ٢٠٢٧) · روسيا · الصين (لين ٣١ ديسمبر) · ماليزيا · تايلند · المغرب · كازاخستان · المالديف (عند الوصول)
احفظها، وأرسلها لرفيق السفر 📌</t>
        </is>
      </c>
      <c r="Q33" s="14" t="inlineStr">
        <is>
          <t>Your Saudi passport opens these doors this winter with no embassy visit: Türkiye, Georgia, Azerbaijan (until 15 Feb 2027), Russia, China (until 31 Dec), Malaysia, Thailand, Morocco, Kazakhstan, Maldives (on arrival). Save it and send it to your travel buddy.</t>
        </is>
      </c>
      <c r="R33" s="14" t="inlineStr">
        <is>
          <t>دول بدون فيزا للسعوديين, دول بدون تأشيرة للسعوديين ٢٠٢٦, visa free countries Saudi passport</t>
        </is>
      </c>
      <c r="S33" s="16" t="inlineStr">
        <is>
          <t>#بدون_فيزا #جواز_سعودي #سفر #السفر_مع_العائلة #مادا</t>
        </is>
      </c>
      <c r="T33" s="14" t="inlineStr">
        <is>
          <t>Save + share</t>
        </is>
      </c>
      <c r="U33" s="14" t="inlineStr">
        <is>
          <t>One country per slide: a real photo, flight time from Riyadh, stay allowed (e.g. 30 / 60 / 90 days), best month. Small footer on every slide: 'Rules change. Check before you book.'</t>
        </is>
      </c>
      <c r="V33" s="14" t="inlineStr">
        <is>
          <t>Ops to verify each country's rule the week of posting (sources: official MFA/embassy pages). High-share format ('دول بدون فيزا للسعوديين').</t>
        </is>
      </c>
      <c r="W33" s="14" t="inlineStr"/>
      <c r="X33" s="14" t="inlineStr">
        <is>
          <t>Scripted</t>
        </is>
      </c>
      <c r="Y33" s="17" t="n"/>
      <c r="Z33" s="17" t="n"/>
      <c r="AA33" s="17" t="n"/>
      <c r="AB33" s="17" t="n"/>
      <c r="AC33" s="17" t="n"/>
      <c r="AD33" s="17" t="n"/>
      <c r="AE33" s="18">
        <f>IF(OR(Y33="",Y33=0),"",(AA33+AB33+AC33+AD33)/Y33)</f>
        <v/>
      </c>
    </row>
    <row r="34">
      <c r="A34" s="19" t="n">
        <v>33</v>
      </c>
      <c r="B34" s="19" t="inlineStr">
        <is>
          <t>09-TT-2100</t>
        </is>
      </c>
      <c r="C34" s="20" t="n">
        <v>46335</v>
      </c>
      <c r="D34" s="19" t="inlineStr">
        <is>
          <t>Mon</t>
        </is>
      </c>
      <c r="E34" s="19" t="inlineStr">
        <is>
          <t>21:00</t>
        </is>
      </c>
      <c r="F34" s="19" t="inlineStr">
        <is>
          <t>TikTok</t>
        </is>
      </c>
      <c r="G34" s="14" t="inlineStr">
        <is>
          <t>Video 45s</t>
        </is>
      </c>
      <c r="H34" s="14" t="inlineStr">
        <is>
          <t>World Horizons</t>
        </is>
      </c>
      <c r="I34" s="14" t="inlineStr">
        <is>
          <t>Global</t>
        </is>
      </c>
      <c r="J34" s="14" t="inlineStr">
        <is>
          <t>Winter Escapes</t>
        </is>
      </c>
      <c r="K34" s="14" t="inlineStr">
        <is>
          <t>Lapland / aurora season</t>
        </is>
      </c>
      <c r="L34" s="15" t="inlineStr">
        <is>
          <t>Northern lights this winter: Lapland</t>
        </is>
      </c>
      <c r="M34" s="16" t="inlineStr">
        <is>
          <t>On-screen + VO: الشفق القطبي… مو حلم، هذا موعده 🌌</t>
        </is>
      </c>
      <c r="N34" s="14" t="inlineStr">
        <is>
          <t>Northern lights: when and where</t>
        </is>
      </c>
      <c r="O34" s="16" t="inlineStr">
        <is>
          <t>الشفق القطبي: متى ووين</t>
        </is>
      </c>
      <c r="P34" s="16" t="inlineStr">
        <is>
          <t>تبي تشوف الشفق القطبي هالشتاء؟ 🌌 وين، ومتى، وكم ليلة تحتاج عشان تزيد فرصتك 👇</t>
        </is>
      </c>
      <c r="Q34" s="14" t="inlineStr">
        <is>
          <t>Want to see the northern lights this winter? Where, when, and how many nights you need to raise your chances.</t>
        </is>
      </c>
      <c r="R34" s="14" t="inlineStr">
        <is>
          <t>الشفق القطبي, لابلاند, روفانيمي, northern lights Lapland</t>
        </is>
      </c>
      <c r="S34" s="16" t="inlineStr">
        <is>
          <t>#الشفق_القطبي #لابلاند #فنلندا #شتاء #مادا</t>
        </is>
      </c>
      <c r="T34" s="14" t="inlineStr">
        <is>
          <t>Save + tag who you'd take</t>
        </is>
      </c>
      <c r="U34" s="14" t="inlineStr">
        <is>
          <t>Talking-head + aurora footage (licensed). Facts: season roughly Sep-Mar, best on clear dark nights, plan 3-4 nights, Rovaniemi has Santa Claus Village for kids. Schengen visa needed.</t>
        </is>
      </c>
      <c r="V34" s="14" t="inlineStr">
        <is>
          <t>Licensed footage only. Say 'chances', never 'guaranteed'.</t>
        </is>
      </c>
      <c r="W34" s="14" t="inlineStr"/>
      <c r="X34" s="14" t="inlineStr">
        <is>
          <t>Scripted</t>
        </is>
      </c>
      <c r="Y34" s="17" t="n"/>
      <c r="Z34" s="17" t="n"/>
      <c r="AA34" s="17" t="n"/>
      <c r="AB34" s="17" t="n"/>
      <c r="AC34" s="17" t="n"/>
      <c r="AD34" s="17" t="n"/>
      <c r="AE34" s="18">
        <f>IF(OR(Y34="",Y34=0),"",(AA34+AB34+AC34+AD34)/Y34)</f>
        <v/>
      </c>
    </row>
    <row r="35">
      <c r="A35" s="21" t="n">
        <v>34</v>
      </c>
      <c r="B35" s="21" t="inlineStr">
        <is>
          <t>09-X-2130</t>
        </is>
      </c>
      <c r="C35" s="22" t="n">
        <v>46335</v>
      </c>
      <c r="D35" s="21" t="inlineStr">
        <is>
          <t>Mon</t>
        </is>
      </c>
      <c r="E35" s="21" t="inlineStr">
        <is>
          <t>21:30</t>
        </is>
      </c>
      <c r="F35" s="21" t="inlineStr">
        <is>
          <t>X</t>
        </is>
      </c>
      <c r="G35" s="14" t="inlineStr">
        <is>
          <t>Post</t>
        </is>
      </c>
      <c r="H35" s="14" t="inlineStr">
        <is>
          <t>Saudi &amp; Gulf Horizons</t>
        </is>
      </c>
      <c r="I35" s="14" t="inlineStr">
        <is>
          <t>Saudi</t>
        </is>
      </c>
      <c r="J35" s="14" t="inlineStr"/>
      <c r="K35" s="14" t="inlineStr">
        <is>
          <t>New moon</t>
        </is>
      </c>
      <c r="L35" s="15" t="inlineStr">
        <is>
          <t>Stargazing nudge</t>
        </is>
      </c>
      <c r="M35" s="16" t="inlineStr">
        <is>
          <t>الليلة بدون قمر 🌑</t>
        </is>
      </c>
      <c r="N35" s="14" t="inlineStr"/>
      <c r="O35" s="14" t="inlineStr"/>
      <c r="P35" s="16" t="inlineStr">
        <is>
          <t>الليلة بدون قمر 🌑
لو تقدر تطلع ساعة برا الرياض بعيد عن الأنوار، ارفع راسك. وصورنا اللي تشوفه وحطه بالرد ✨</t>
        </is>
      </c>
      <c r="Q35" s="14" t="inlineStr">
        <is>
          <t>No moon tonight. If you can get an hour outside Riyadh away from the lights, look up. Reply with what you see.</t>
        </is>
      </c>
      <c r="R35" s="14" t="inlineStr">
        <is>
          <t>رصد النجوم</t>
        </is>
      </c>
      <c r="S35" s="16" t="inlineStr">
        <is>
          <t>#رصد_النجوم</t>
        </is>
      </c>
      <c r="T35" s="14" t="inlineStr">
        <is>
          <t>Reply with a photo (UGC)</t>
        </is>
      </c>
      <c r="U35" s="14" t="inlineStr">
        <is>
          <t>Text + one star photo.</t>
        </is>
      </c>
      <c r="V35" s="14" t="inlineStr"/>
      <c r="W35" s="14" t="inlineStr"/>
      <c r="X35" s="14" t="inlineStr">
        <is>
          <t>Scripted</t>
        </is>
      </c>
      <c r="Y35" s="17" t="n"/>
      <c r="Z35" s="17" t="n"/>
      <c r="AA35" s="17" t="n"/>
      <c r="AB35" s="17" t="n"/>
      <c r="AC35" s="17" t="n"/>
      <c r="AD35" s="17" t="n"/>
      <c r="AE35" s="18">
        <f>IF(OR(Y35="",Y35=0),"",(AA35+AB35+AC35+AD35)/Y35)</f>
        <v/>
      </c>
    </row>
    <row r="36">
      <c r="A36" s="12" t="n">
        <v>35</v>
      </c>
      <c r="B36" s="12" t="inlineStr">
        <is>
          <t>10-IG-2030</t>
        </is>
      </c>
      <c r="C36" s="13" t="n">
        <v>46336</v>
      </c>
      <c r="D36" s="12" t="inlineStr">
        <is>
          <t>Tue</t>
        </is>
      </c>
      <c r="E36" s="12" t="inlineStr">
        <is>
          <t>20:30</t>
        </is>
      </c>
      <c r="F36" s="12" t="inlineStr">
        <is>
          <t>Instagram</t>
        </is>
      </c>
      <c r="G36" s="14" t="inlineStr">
        <is>
          <t>Reel 30s</t>
        </is>
      </c>
      <c r="H36" s="14" t="inlineStr">
        <is>
          <t>Events &amp; Business</t>
        </is>
      </c>
      <c r="I36" s="14" t="inlineStr">
        <is>
          <t>B2B</t>
        </is>
      </c>
      <c r="J36" s="14" t="inlineStr">
        <is>
          <t>Behind the Curtain</t>
        </is>
      </c>
      <c r="K36" s="14" t="inlineStr">
        <is>
          <t>Evergreen events</t>
        </is>
      </c>
      <c r="L36" s="15" t="inlineStr">
        <is>
          <t>Behind the Curtain #1: an event build in 30 seconds</t>
        </is>
      </c>
      <c r="M36" s="14" t="inlineStr">
        <is>
          <t>Empty hall → full stage in 3 seconds (timelapse hook)</t>
        </is>
      </c>
      <c r="N36" s="14" t="inlineStr">
        <is>
          <t>36 hours in 30 seconds</t>
        </is>
      </c>
      <c r="O36" s="16" t="inlineStr">
        <is>
          <t>٣٦ ساعة في ٣٠ ثانية</t>
        </is>
      </c>
      <c r="P36" s="16" t="inlineStr">
        <is>
          <t>قاعة فاضية… وبعد ٣٦ ساعة صارت ليلة ما تنسى ✨
«خلف الستارة»: كيف تنبني فعالياتنا.</t>
        </is>
      </c>
      <c r="Q36" s="14" t="inlineStr">
        <is>
          <t>An empty hall, and 36 hours later a night nobody forgets. 'Behind the Curtain': how our events get built.</t>
        </is>
      </c>
      <c r="R36" s="14" t="inlineStr">
        <is>
          <t>تنظيم فعاليات الرياض, event management Riyadh, تنظيم حفلات</t>
        </is>
      </c>
      <c r="S36" s="16" t="inlineStr">
        <is>
          <t>#خلف_الستارة #تنظيم_فعاليات #فعاليات_الرياض #مادا #MadaEvents</t>
        </is>
      </c>
      <c r="T36" s="14" t="inlineStr">
        <is>
          <t>DM 'EVENT' to plan yours</t>
        </is>
      </c>
      <c r="U36" s="14" t="inlineStr">
        <is>
          <t>Locked-off timelapse of a real build (stage, truss, lights, tables), then a 3-second real-time payoff of lights on. Crew in branded tees. A sound design build-up.</t>
        </is>
      </c>
      <c r="V36" s="14" t="inlineStr">
        <is>
          <t>Needs our own event footage. If no build this month, shoot a small activation or rehearsal.</t>
        </is>
      </c>
      <c r="W36" s="14" t="inlineStr"/>
      <c r="X36" s="14" t="inlineStr">
        <is>
          <t>Scripted</t>
        </is>
      </c>
      <c r="Y36" s="17" t="n"/>
      <c r="Z36" s="17" t="n"/>
      <c r="AA36" s="17" t="n"/>
      <c r="AB36" s="17" t="n"/>
      <c r="AC36" s="17" t="n"/>
      <c r="AD36" s="17" t="n"/>
      <c r="AE36" s="18">
        <f>IF(OR(Y36="",Y36=0),"",(AA36+AB36+AC36+AD36)/Y36)</f>
        <v/>
      </c>
    </row>
    <row r="37">
      <c r="A37" s="19" t="n">
        <v>36</v>
      </c>
      <c r="B37" s="19" t="inlineStr">
        <is>
          <t>10-TT-2100</t>
        </is>
      </c>
      <c r="C37" s="20" t="n">
        <v>46336</v>
      </c>
      <c r="D37" s="19" t="inlineStr">
        <is>
          <t>Tue</t>
        </is>
      </c>
      <c r="E37" s="19" t="inlineStr">
        <is>
          <t>21:00</t>
        </is>
      </c>
      <c r="F37" s="19" t="inlineStr">
        <is>
          <t>TikTok</t>
        </is>
      </c>
      <c r="G37" s="14" t="inlineStr">
        <is>
          <t>Photo carousel 8</t>
        </is>
      </c>
      <c r="H37" s="14" t="inlineStr">
        <is>
          <t>World Horizons</t>
        </is>
      </c>
      <c r="I37" s="14" t="inlineStr">
        <is>
          <t>Global</t>
        </is>
      </c>
      <c r="J37" s="14" t="inlineStr"/>
      <c r="K37" s="14" t="inlineStr">
        <is>
          <t>Azerbaijan visa-free window (to 15 Feb 2027)</t>
        </is>
      </c>
      <c r="L37" s="15" t="inlineStr">
        <is>
          <t>What 5 days in Baku &amp; Shahdag actually cost</t>
        </is>
      </c>
      <c r="M37" s="16" t="inlineStr">
        <is>
          <t>Slide 1: كم تكلف ٥ أيام في أذربيجان مع الثلج؟ 💸❄️</t>
        </is>
      </c>
      <c r="N37" s="14" t="inlineStr">
        <is>
          <t>Baku + snow: the real cost</t>
        </is>
      </c>
      <c r="O37" s="16" t="inlineStr">
        <is>
          <t>باكو والثلج: التكلفة الحقيقية</t>
        </is>
      </c>
      <c r="P37" s="16" t="inlineStr">
        <is>
          <t>كم تكلف ٥ أيام في أذربيجان مع الثلج؟ فصلناها لك 👇
وأذربيجان بدون فيزا للسعوديين لين ١٥ فبراير ٢٠٢٧ ❄️
الأسعار تقريبية لشخصين.</t>
        </is>
      </c>
      <c r="Q37" s="14" t="inlineStr">
        <is>
          <t>What do 5 days in Azerbaijan with snow cost? Broken down for you. Azerbaijan is visa-free for Saudis until 15 Feb 2027. Approximate prices for two.</t>
        </is>
      </c>
      <c r="R37" s="14" t="inlineStr">
        <is>
          <t>تكلفة رحلة اذربيجان, باكو شاهداغ, اذربيجان بدون فيزا, Baku trip cost</t>
        </is>
      </c>
      <c r="S37" s="16" t="inlineStr">
        <is>
          <t>#أذربيجان #باكو #ثلوج #ميزانية_السفر #مادا</t>
        </is>
      </c>
      <c r="T37" s="14" t="inlineStr">
        <is>
          <t>Comment 'تفاصيل' for the plan in DM</t>
        </is>
      </c>
      <c r="U37" s="14" t="inlineStr">
        <is>
          <t>Photo Mode, one cost line per slide: flights, hotel (3 nights Baku + 1 Shahdag), transfers, ski pass/lessons, food. Total on the last slide. Transparent, no flexing.</t>
        </is>
      </c>
      <c r="V37" s="25" t="inlineStr">
        <is>
          <t>SALES must fill in real SAR ranges before posting.</t>
        </is>
      </c>
      <c r="W37" s="14" t="inlineStr"/>
      <c r="X37" s="14" t="inlineStr">
        <is>
          <t>Scripted</t>
        </is>
      </c>
      <c r="Y37" s="17" t="n"/>
      <c r="Z37" s="17" t="n"/>
      <c r="AA37" s="17" t="n"/>
      <c r="AB37" s="17" t="n"/>
      <c r="AC37" s="17" t="n"/>
      <c r="AD37" s="17" t="n"/>
      <c r="AE37" s="18">
        <f>IF(OR(Y37="",Y37=0),"",(AA37+AB37+AC37+AD37)/Y37)</f>
        <v/>
      </c>
    </row>
    <row r="38">
      <c r="A38" s="21" t="n">
        <v>37</v>
      </c>
      <c r="B38" s="21" t="inlineStr">
        <is>
          <t>10-X-1300</t>
        </is>
      </c>
      <c r="C38" s="22" t="n">
        <v>46336</v>
      </c>
      <c r="D38" s="21" t="inlineStr">
        <is>
          <t>Tue</t>
        </is>
      </c>
      <c r="E38" s="21" t="inlineStr">
        <is>
          <t>13:00</t>
        </is>
      </c>
      <c r="F38" s="21" t="inlineStr">
        <is>
          <t>X</t>
        </is>
      </c>
      <c r="G38" s="14" t="inlineStr">
        <is>
          <t>Post</t>
        </is>
      </c>
      <c r="H38" s="14" t="inlineStr">
        <is>
          <t>Moments &amp; Offers</t>
        </is>
      </c>
      <c r="I38" s="14" t="inlineStr">
        <is>
          <t>All</t>
        </is>
      </c>
      <c r="J38" s="14" t="inlineStr"/>
      <c r="K38" s="14" t="inlineStr">
        <is>
          <t>11.11 Singles Day</t>
        </is>
      </c>
      <c r="L38" s="15" t="inlineStr">
        <is>
          <t>11.11 teaser</t>
        </is>
      </c>
      <c r="M38" s="16" t="inlineStr">
        <is>
          <t>بكرة ١١.١١ 👀</t>
        </is>
      </c>
      <c r="N38" s="14" t="inlineStr"/>
      <c r="O38" s="14" t="inlineStr"/>
      <c r="P38" s="16" t="inlineStr">
        <is>
          <t>بكرة ١١.١١ 👀
عندنا شي صغير لأول ١١ حجز. فعّل التنبيه.</t>
        </is>
      </c>
      <c r="Q38" s="14" t="inlineStr">
        <is>
          <t>Tomorrow is 11.11. Something small for the first 11 bookings. Turn on notifications.</t>
        </is>
      </c>
      <c r="R38" s="14" t="inlineStr">
        <is>
          <t>عروض ١١.١١</t>
        </is>
      </c>
      <c r="S38" s="16" t="inlineStr">
        <is>
          <t>#١١_١١</t>
        </is>
      </c>
      <c r="T38" s="14" t="inlineStr">
        <is>
          <t>Turn on notifications</t>
        </is>
      </c>
      <c r="U38" s="14" t="inlineStr">
        <is>
          <t>Text only.</t>
        </is>
      </c>
      <c r="V38" s="25" t="inlineStr">
        <is>
          <t>OFFER needs management approval (see 11 Nov).</t>
        </is>
      </c>
      <c r="W38" s="14" t="inlineStr"/>
      <c r="X38" s="14" t="inlineStr">
        <is>
          <t>Scripted</t>
        </is>
      </c>
      <c r="Y38" s="17" t="n"/>
      <c r="Z38" s="17" t="n"/>
      <c r="AA38" s="17" t="n"/>
      <c r="AB38" s="17" t="n"/>
      <c r="AC38" s="17" t="n"/>
      <c r="AD38" s="17" t="n"/>
      <c r="AE38" s="18">
        <f>IF(OR(Y38="",Y38=0),"",(AA38+AB38+AC38+AD38)/Y38)</f>
        <v/>
      </c>
    </row>
    <row r="39">
      <c r="A39" s="23" t="n">
        <v>38</v>
      </c>
      <c r="B39" s="23" t="inlineStr">
        <is>
          <t>10-LI-0930</t>
        </is>
      </c>
      <c r="C39" s="24" t="n">
        <v>46336</v>
      </c>
      <c r="D39" s="23" t="inlineStr">
        <is>
          <t>Tue</t>
        </is>
      </c>
      <c r="E39" s="23" t="inlineStr">
        <is>
          <t>09:30</t>
        </is>
      </c>
      <c r="F39" s="23" t="inlineStr">
        <is>
          <t>LinkedIn</t>
        </is>
      </c>
      <c r="G39" s="14" t="inlineStr">
        <is>
          <t>Post + image</t>
        </is>
      </c>
      <c r="H39" s="14" t="inlineStr">
        <is>
          <t>Events &amp; Business</t>
        </is>
      </c>
      <c r="I39" s="14" t="inlineStr">
        <is>
          <t>B2B</t>
        </is>
      </c>
      <c r="J39" s="14" t="inlineStr"/>
      <c r="K39" s="14" t="inlineStr">
        <is>
          <t>Evergreen B2B</t>
        </is>
      </c>
      <c r="L39" s="15" t="inlineStr">
        <is>
          <t>Hiring skilled crews in KSA: what actually takes time</t>
        </is>
      </c>
      <c r="M39" s="14" t="inlineStr">
        <is>
          <t>The welders were ready in 10 days. The paperwork took the rest.</t>
        </is>
      </c>
      <c r="N39" s="14" t="inlineStr">
        <is>
          <t>Mobilising skilled crews in KSA: where time goes</t>
        </is>
      </c>
      <c r="O39" s="14" t="inlineStr"/>
      <c r="P39" s="14" t="inlineStr"/>
      <c r="Q39" s="14" t="inlineStr">
        <is>
          <t>Clients often ask why mobilising a skilled crew takes weeks when the people are ready in days.
Where the time goes:
• Work visas and permits through Qiwa
• Medical checks and certification checks
• Iqama issuance and site access
• Housing, transport and safety induction
What shortens it: a clear scope early, documents checked before submission, and one partner who owns every step.
Timelines vary by role and nationality. If you are planning a 2027 mobilisation, start the conversation now.</t>
        </is>
      </c>
      <c r="R39" s="14" t="inlineStr">
        <is>
          <t>manpower supply Saudi Arabia, skilled workers KSA, Qiwa work visa</t>
        </is>
      </c>
      <c r="S39" s="14" t="inlineStr">
        <is>
          <t>#Manpower #SaudiArabia #Workforce #Qiwa</t>
        </is>
      </c>
      <c r="T39" s="14" t="inlineStr">
        <is>
          <t>Message us</t>
        </is>
      </c>
      <c r="U39" s="14" t="inlineStr">
        <is>
          <t>One image: an infographic bar showing days per stage (illustrative, labelled as such).</t>
        </is>
      </c>
      <c r="V39" s="14" t="inlineStr">
        <is>
          <t>Ops to confirm the process steps match our actual workflow.</t>
        </is>
      </c>
      <c r="W39" s="14" t="inlineStr"/>
      <c r="X39" s="14" t="inlineStr">
        <is>
          <t>Scripted</t>
        </is>
      </c>
      <c r="Y39" s="17" t="n"/>
      <c r="Z39" s="17" t="n"/>
      <c r="AA39" s="17" t="n"/>
      <c r="AB39" s="17" t="n"/>
      <c r="AC39" s="17" t="n"/>
      <c r="AD39" s="17" t="n"/>
      <c r="AE39" s="18">
        <f>IF(OR(Y39="",Y39=0),"",(AA39+AB39+AC39+AD39)/Y39)</f>
        <v/>
      </c>
    </row>
    <row r="40">
      <c r="A40" s="12" t="n">
        <v>39</v>
      </c>
      <c r="B40" s="12" t="inlineStr">
        <is>
          <t>11-IG-2030</t>
        </is>
      </c>
      <c r="C40" s="13" t="n">
        <v>46337</v>
      </c>
      <c r="D40" s="12" t="inlineStr">
        <is>
          <t>Wed</t>
        </is>
      </c>
      <c r="E40" s="12" t="inlineStr">
        <is>
          <t>20:30</t>
        </is>
      </c>
      <c r="F40" s="12" t="inlineStr">
        <is>
          <t>Instagram</t>
        </is>
      </c>
      <c r="G40" s="14" t="inlineStr">
        <is>
          <t>Static 4:5</t>
        </is>
      </c>
      <c r="H40" s="14" t="inlineStr">
        <is>
          <t>Moments &amp; Offers</t>
        </is>
      </c>
      <c r="I40" s="14" t="inlineStr">
        <is>
          <t>All</t>
        </is>
      </c>
      <c r="J40" s="14" t="inlineStr"/>
      <c r="K40" s="14" t="inlineStr">
        <is>
          <t>11.11 Singles Day / ~1 Jumada II</t>
        </is>
      </c>
      <c r="L40" s="15" t="inlineStr">
        <is>
          <t>11.11: 11 bookings, 11 upgrades</t>
        </is>
      </c>
      <c r="M40" s="14" t="inlineStr">
        <is>
          <t>11.11 · 11 bookings · 11 upgrades</t>
        </is>
      </c>
      <c r="N40" s="14" t="inlineStr">
        <is>
          <t>11.11 · The first 11 bookings get an upgrade on us</t>
        </is>
      </c>
      <c r="O40" s="16" t="inlineStr">
        <is>
          <t>١١.١١ · أول ١١ حجز… الترقية علينا</t>
        </is>
      </c>
      <c r="P40" s="16" t="inlineStr">
        <is>
          <t>١١.١١ ✨
أول ١١ حجز اليوم: ترقية علينا (غرفة أعلى، توصيل خاص، أو تشيك آوت متأخر).
بدون أكواد. بس قل «١١» على الواتساب.</t>
        </is>
      </c>
      <c r="Q40" s="14" t="inlineStr">
        <is>
          <t>11.11. The first 11 bookings today get an upgrade on us: a better room, a private transfer or late checkout. No codes. Just say '11' on WhatsApp.</t>
        </is>
      </c>
      <c r="R40" s="14" t="inlineStr">
        <is>
          <t>عروض ١١.١١, عروض سفر</t>
        </is>
      </c>
      <c r="S40" s="16" t="inlineStr">
        <is>
          <t>#عروض_سفر #١١_١١ #مادا #MadaTrips #الرياض</t>
        </is>
      </c>
      <c r="T40" s="14" t="inlineStr">
        <is>
          <t>WhatsApp '11'</t>
        </is>
      </c>
      <c r="U40" s="14" t="inlineStr">
        <is>
          <t>Typographic poster: huge '11.11' in gold on green, a short line, symbol. Story version with a countdown sticker.</t>
        </is>
      </c>
      <c r="V40" s="25" t="inlineStr">
        <is>
          <t>OFFER: management approval + terms (valid today only, subject to availability).</t>
        </is>
      </c>
      <c r="W40" s="14" t="inlineStr"/>
      <c r="X40" s="14" t="inlineStr">
        <is>
          <t>Scripted</t>
        </is>
      </c>
      <c r="Y40" s="17" t="n"/>
      <c r="Z40" s="17" t="n"/>
      <c r="AA40" s="17" t="n"/>
      <c r="AB40" s="17" t="n"/>
      <c r="AC40" s="17" t="n"/>
      <c r="AD40" s="17" t="n"/>
      <c r="AE40" s="18">
        <f>IF(OR(Y40="",Y40=0),"",(AA40+AB40+AC40+AD40)/Y40)</f>
        <v/>
      </c>
    </row>
    <row r="41">
      <c r="A41" s="19" t="n">
        <v>40</v>
      </c>
      <c r="B41" s="19" t="inlineStr">
        <is>
          <t>11-TT-2100</t>
        </is>
      </c>
      <c r="C41" s="20" t="n">
        <v>46337</v>
      </c>
      <c r="D41" s="19" t="inlineStr">
        <is>
          <t>Wed</t>
        </is>
      </c>
      <c r="E41" s="19" t="inlineStr">
        <is>
          <t>21:00</t>
        </is>
      </c>
      <c r="F41" s="19" t="inlineStr">
        <is>
          <t>TikTok</t>
        </is>
      </c>
      <c r="G41" s="14" t="inlineStr">
        <is>
          <t>Video 20s</t>
        </is>
      </c>
      <c r="H41" s="14" t="inlineStr">
        <is>
          <t>Moments &amp; Offers</t>
        </is>
      </c>
      <c r="I41" s="14" t="inlineStr">
        <is>
          <t>All</t>
        </is>
      </c>
      <c r="J41" s="14" t="inlineStr"/>
      <c r="K41" s="14" t="inlineStr">
        <is>
          <t>11.11</t>
        </is>
      </c>
      <c r="L41" s="15" t="inlineStr">
        <is>
          <t>11.11: what an 'upgrade' means</t>
        </is>
      </c>
      <c r="M41" s="16" t="inlineStr">
        <is>
          <t>On-screen: وش يعني «ترقية» عندنا؟ 👇</t>
        </is>
      </c>
      <c r="N41" s="14" t="inlineStr">
        <is>
          <t>What 'upgrade' means at Mada</t>
        </is>
      </c>
      <c r="O41" s="16" t="inlineStr">
        <is>
          <t>وش يعني «ترقية» عندنا</t>
        </is>
      </c>
      <c r="P41" s="16" t="inlineStr">
        <is>
          <t>اليوم بس: أول ١١ حجز ياخذون ترقية ✨ قل «١١» على الواتساب.</t>
        </is>
      </c>
      <c r="Q41" s="14" t="inlineStr">
        <is>
          <t>Today only: the first 11 bookings get an upgrade. Say '11' on WhatsApp.</t>
        </is>
      </c>
      <c r="R41" s="14" t="inlineStr">
        <is>
          <t>عروض ١١.١١</t>
        </is>
      </c>
      <c r="S41" s="16" t="inlineStr">
        <is>
          <t>#١١_١١ #عروض_سفر #سفر #السعودية #مادا</t>
        </is>
      </c>
      <c r="T41" s="14" t="inlineStr">
        <is>
          <t>WhatsApp '11'</t>
        </is>
      </c>
      <c r="U41" s="14" t="inlineStr">
        <is>
          <t>Three quick reveals: the room view, the private car door, the 'late checkout' sign. Fun, fast.</t>
        </is>
      </c>
      <c r="V41" s="25" t="inlineStr">
        <is>
          <t>OFFER approval.</t>
        </is>
      </c>
      <c r="W41" s="14" t="inlineStr"/>
      <c r="X41" s="14" t="inlineStr">
        <is>
          <t>Scripted</t>
        </is>
      </c>
      <c r="Y41" s="17" t="n"/>
      <c r="Z41" s="17" t="n"/>
      <c r="AA41" s="17" t="n"/>
      <c r="AB41" s="17" t="n"/>
      <c r="AC41" s="17" t="n"/>
      <c r="AD41" s="17" t="n"/>
      <c r="AE41" s="18">
        <f>IF(OR(Y41="",Y41=0),"",(AA41+AB41+AC41+AD41)/Y41)</f>
        <v/>
      </c>
    </row>
    <row r="42">
      <c r="A42" s="21" t="n">
        <v>41</v>
      </c>
      <c r="B42" s="21" t="inlineStr">
        <is>
          <t>11-X-1200</t>
        </is>
      </c>
      <c r="C42" s="22" t="n">
        <v>46337</v>
      </c>
      <c r="D42" s="21" t="inlineStr">
        <is>
          <t>Wed</t>
        </is>
      </c>
      <c r="E42" s="21" t="inlineStr">
        <is>
          <t>12:00</t>
        </is>
      </c>
      <c r="F42" s="21" t="inlineStr">
        <is>
          <t>X</t>
        </is>
      </c>
      <c r="G42" s="14" t="inlineStr">
        <is>
          <t>Post</t>
        </is>
      </c>
      <c r="H42" s="14" t="inlineStr">
        <is>
          <t>Moments &amp; Offers</t>
        </is>
      </c>
      <c r="I42" s="14" t="inlineStr">
        <is>
          <t>All</t>
        </is>
      </c>
      <c r="J42" s="14" t="inlineStr"/>
      <c r="K42" s="14" t="inlineStr">
        <is>
          <t>11.11</t>
        </is>
      </c>
      <c r="L42" s="15" t="inlineStr">
        <is>
          <t>11.11 live</t>
        </is>
      </c>
      <c r="M42" s="16" t="inlineStr">
        <is>
          <t>١١.١١ بدأ ✨</t>
        </is>
      </c>
      <c r="N42" s="14" t="inlineStr"/>
      <c r="O42" s="14" t="inlineStr"/>
      <c r="P42" s="16" t="inlineStr">
        <is>
          <t>١١.١١ بدأ ✨ أول ١١ حجز اليوم ياخذون ترقية علينا.
قل «١١» على الواتساب ‎+966 56 668 2662</t>
        </is>
      </c>
      <c r="Q42" s="14" t="inlineStr">
        <is>
          <t>11.11 is live. The first 11 bookings today get an upgrade. Say '11' on WhatsApp.</t>
        </is>
      </c>
      <c r="R42" s="14" t="inlineStr">
        <is>
          <t>عروض ١١.١١</t>
        </is>
      </c>
      <c r="S42" s="16" t="inlineStr">
        <is>
          <t>#١١_١١</t>
        </is>
      </c>
      <c r="T42" s="14" t="inlineStr">
        <is>
          <t>WhatsApp</t>
        </is>
      </c>
      <c r="U42" s="14" t="inlineStr">
        <is>
          <t>Poster image.</t>
        </is>
      </c>
      <c r="V42" s="14" t="inlineStr">
        <is>
          <t>Post 'all 11 gone' update once claimed (scarcity proof).</t>
        </is>
      </c>
      <c r="W42" s="14" t="inlineStr"/>
      <c r="X42" s="14" t="inlineStr">
        <is>
          <t>Scripted</t>
        </is>
      </c>
      <c r="Y42" s="17" t="n"/>
      <c r="Z42" s="17" t="n"/>
      <c r="AA42" s="17" t="n"/>
      <c r="AB42" s="17" t="n"/>
      <c r="AC42" s="17" t="n"/>
      <c r="AD42" s="17" t="n"/>
      <c r="AE42" s="18">
        <f>IF(OR(Y42="",Y42=0),"",(AA42+AB42+AC42+AD42)/Y42)</f>
        <v/>
      </c>
    </row>
    <row r="43">
      <c r="A43" s="12" t="n">
        <v>42</v>
      </c>
      <c r="B43" s="12" t="inlineStr">
        <is>
          <t>12-IG-1930</t>
        </is>
      </c>
      <c r="C43" s="13" t="n">
        <v>46338</v>
      </c>
      <c r="D43" s="12" t="inlineStr">
        <is>
          <t>Thu</t>
        </is>
      </c>
      <c r="E43" s="12" t="inlineStr">
        <is>
          <t>19:30</t>
        </is>
      </c>
      <c r="F43" s="12" t="inlineStr">
        <is>
          <t>Instagram</t>
        </is>
      </c>
      <c r="G43" s="14" t="inlineStr">
        <is>
          <t>Carousel 7</t>
        </is>
      </c>
      <c r="H43" s="14" t="inlineStr">
        <is>
          <t>Saudi &amp; Gulf Horizons</t>
        </is>
      </c>
      <c r="I43" s="14" t="inlineStr">
        <is>
          <t>Saudi</t>
        </is>
      </c>
      <c r="J43" s="14" t="inlineStr">
        <is>
          <t>Weekend Radar</t>
        </is>
      </c>
      <c r="K43" s="14" t="inlineStr">
        <is>
          <t>Weekend</t>
        </is>
      </c>
      <c r="L43" s="15" t="inlineStr">
        <is>
          <t>Weekend Radar #2</t>
        </is>
      </c>
      <c r="M43" s="14" t="inlineStr">
        <is>
          <t>Slide 1: Weekend Radar · 12-14 Nov</t>
        </is>
      </c>
      <c r="N43" s="14" t="inlineStr">
        <is>
          <t>Weekend Radar · 12-14 Nov</t>
        </is>
      </c>
      <c r="O43" s="16" t="inlineStr">
        <is>
          <t>رادار الويكند · ١٢–١٤ نوفمبر</t>
        </is>
      </c>
      <c r="P43" s="16" t="inlineStr">
        <is>
          <t>رادار الويكند 📡
• آخر ويكند لمهرجان سماء العلا (لين ١٥ نوفمبر)
• موسم الرياض: سهرة بوليفارد سيتي
• سباقات الخيل بميدان الملك عبدالعزيز
• الأحد ١٥: ذروة شهب الأسد 🌠</t>
        </is>
      </c>
      <c r="Q43" s="14" t="inlineStr">
        <is>
          <t>Weekend Radar: the last weekend of AlUla Skies, a night at Boulevard City, racing at King Abdulaziz Racecourse, and the Leonids peak on Sunday 15.</t>
        </is>
      </c>
      <c r="R43" s="14" t="inlineStr">
        <is>
          <t>فعاليات الرياض هالويكند, Riyadh this weekend</t>
        </is>
      </c>
      <c r="S43" s="16" t="inlineStr">
        <is>
          <t>#رادار_الويكند #موسم_الرياض #فعاليات_الرياض #الرياض #مادا</t>
        </is>
      </c>
      <c r="T43" s="14" t="inlineStr">
        <is>
          <t>Save + share</t>
        </is>
      </c>
      <c r="U43" s="14" t="inlineStr">
        <is>
          <t>Weekend Radar template.</t>
        </is>
      </c>
      <c r="V43" s="14" t="inlineStr"/>
      <c r="W43" s="14" t="inlineStr"/>
      <c r="X43" s="14" t="inlineStr">
        <is>
          <t>Scripted</t>
        </is>
      </c>
      <c r="Y43" s="17" t="n"/>
      <c r="Z43" s="17" t="n"/>
      <c r="AA43" s="17" t="n"/>
      <c r="AB43" s="17" t="n"/>
      <c r="AC43" s="17" t="n"/>
      <c r="AD43" s="17" t="n"/>
      <c r="AE43" s="18">
        <f>IF(OR(Y43="",Y43=0),"",(AA43+AB43+AC43+AD43)/Y43)</f>
        <v/>
      </c>
    </row>
    <row r="44">
      <c r="A44" s="12" t="n">
        <v>43</v>
      </c>
      <c r="B44" s="12" t="inlineStr">
        <is>
          <t>12-IG-2130</t>
        </is>
      </c>
      <c r="C44" s="13" t="n">
        <v>46338</v>
      </c>
      <c r="D44" s="12" t="inlineStr">
        <is>
          <t>Thu</t>
        </is>
      </c>
      <c r="E44" s="12" t="inlineStr">
        <is>
          <t>21:30</t>
        </is>
      </c>
      <c r="F44" s="12" t="inlineStr">
        <is>
          <t>Instagram</t>
        </is>
      </c>
      <c r="G44" s="14" t="inlineStr">
        <is>
          <t>Reel 35s</t>
        </is>
      </c>
      <c r="H44" s="14" t="inlineStr">
        <is>
          <t>World Horizons</t>
        </is>
      </c>
      <c r="I44" s="14" t="inlineStr">
        <is>
          <t>Global</t>
        </is>
      </c>
      <c r="J44" s="14" t="inlineStr">
        <is>
          <t>Europe in Winter</t>
        </is>
      </c>
      <c r="K44" s="14" t="inlineStr">
        <is>
          <t>Vienna Schönbrunn market from 6 Nov · Rathausplatz ~13 Nov</t>
        </is>
      </c>
      <c r="L44" s="15" t="inlineStr">
        <is>
          <t>Vienna in winter: 3 days</t>
        </is>
      </c>
      <c r="M44" s="14" t="inlineStr">
        <is>
          <t>Snow falling on a Vienna market + text: 'Europe's winter markets open this week'</t>
        </is>
      </c>
      <c r="N44" s="14" t="inlineStr">
        <is>
          <t>Vienna in winter · 3 days</t>
        </is>
      </c>
      <c r="O44" s="16" t="inlineStr">
        <is>
          <t>فيينا في الشتاء · ٣ أيام</t>
        </is>
      </c>
      <c r="P44" s="16" t="inlineStr">
        <is>
          <t>أسواق الشتاء في أوروبا بدأت تفتح ❄️ أولها فيينا.
٣ أيام: القصور، المقاهي القديمة، والأسواق المضيئة بالليل.
سلسلة «شتاء أوروبا» تبدأ اليوم.</t>
        </is>
      </c>
      <c r="Q44" s="14" t="inlineStr">
        <is>
          <t>Europe's winter markets are opening, starting with Vienna. 3 days: palaces, old cafés and lit-up markets at night. Our 'Europe in Winter' series starts today.</t>
        </is>
      </c>
      <c r="R44" s="14" t="inlineStr">
        <is>
          <t>فيينا في الشتاء, سفر أوروبا شتاء, Vienna winter trip</t>
        </is>
      </c>
      <c r="S44" s="16" t="inlineStr">
        <is>
          <t>#فيينا #شتاء_أوروبا #سفر #النمسا #مادا</t>
        </is>
      </c>
      <c r="T44" s="14" t="inlineStr">
        <is>
          <t>Save for your winter trip</t>
        </is>
      </c>
      <c r="U44" s="14" t="inlineStr">
        <is>
          <t>Itinerary reel: Day 1/2/3 chapters with on-screen times. Halal food tip + a prayer-friendly note (useful for the audience). Licensed or original footage only.</t>
        </is>
      </c>
      <c r="V44" s="14" t="inlineStr">
        <is>
          <t>Use licensed stock or creator footage under a Collab post, never reposts.</t>
        </is>
      </c>
      <c r="W44" s="14" t="inlineStr"/>
      <c r="X44" s="14" t="inlineStr">
        <is>
          <t>Scripted</t>
        </is>
      </c>
      <c r="Y44" s="17" t="n"/>
      <c r="Z44" s="17" t="n"/>
      <c r="AA44" s="17" t="n"/>
      <c r="AB44" s="17" t="n"/>
      <c r="AC44" s="17" t="n"/>
      <c r="AD44" s="17" t="n"/>
      <c r="AE44" s="18">
        <f>IF(OR(Y44="",Y44=0),"",(AA44+AB44+AC44+AD44)/Y44)</f>
        <v/>
      </c>
    </row>
    <row r="45">
      <c r="A45" s="19" t="n">
        <v>44</v>
      </c>
      <c r="B45" s="19" t="inlineStr">
        <is>
          <t>12-TT-2000</t>
        </is>
      </c>
      <c r="C45" s="20" t="n">
        <v>46338</v>
      </c>
      <c r="D45" s="19" t="inlineStr">
        <is>
          <t>Thu</t>
        </is>
      </c>
      <c r="E45" s="19" t="inlineStr">
        <is>
          <t>20:00</t>
        </is>
      </c>
      <c r="F45" s="19" t="inlineStr">
        <is>
          <t>TikTok</t>
        </is>
      </c>
      <c r="G45" s="14" t="inlineStr">
        <is>
          <t>Video 50s</t>
        </is>
      </c>
      <c r="H45" s="14" t="inlineStr">
        <is>
          <t>World Horizons</t>
        </is>
      </c>
      <c r="I45" s="14" t="inlineStr">
        <is>
          <t>Global</t>
        </is>
      </c>
      <c r="J45" s="14" t="inlineStr"/>
      <c r="K45" s="14" t="inlineStr">
        <is>
          <t>Europe winter markets</t>
        </is>
      </c>
      <c r="L45" s="15" t="inlineStr">
        <is>
          <t>Europe this winter: 5 cities ranked for families</t>
        </is>
      </c>
      <c r="M45" s="16" t="inlineStr">
        <is>
          <t>On-screen: رتبنا ٥ مدن أوروبية للشتاء مع العائلة 👨‍👩‍👧</t>
        </is>
      </c>
      <c r="N45" s="14" t="inlineStr">
        <is>
          <t>5 European winter cities, ranked for families</t>
        </is>
      </c>
      <c r="O45" s="16" t="inlineStr">
        <is>
          <t>٥ مدن أوروبية للشتاء مع العائلة</t>
        </is>
      </c>
      <c r="P45" s="16" t="inlineStr">
        <is>
          <t>رتبنا لك ٥ مدن أوروبية للشتاء مع العائلة 🇪🇺❄️
توافقنا ولا لا؟ 👇</t>
        </is>
      </c>
      <c r="Q45" s="14" t="inlineStr">
        <is>
          <t>We ranked 5 European cities for a family winter trip. Agree or not?</t>
        </is>
      </c>
      <c r="R45" s="14" t="inlineStr">
        <is>
          <t>سفر اوروبا شتاء, افضل مدن اوروبا للعائلات, Europe winter family</t>
        </is>
      </c>
      <c r="S45" s="16" t="inlineStr">
        <is>
          <t>#شتاء_أوروبا #سفر_عائلي #أوروبا #سفر #مادا</t>
        </is>
      </c>
      <c r="T45" s="14" t="inlineStr">
        <is>
          <t>Comment your ranking</t>
        </is>
      </c>
      <c r="U45" s="14" t="inlineStr">
        <is>
          <t>Tier-list format (a trending structure): Vienna, Prague, Strasbourg, London, Salzburg, with criteria: walkability, halal food, flight time from Riyadh, kid-friendliness. Green-screen.</t>
        </is>
      </c>
      <c r="V45" s="14" t="inlineStr"/>
      <c r="W45" s="14" t="inlineStr"/>
      <c r="X45" s="14" t="inlineStr">
        <is>
          <t>Scripted</t>
        </is>
      </c>
      <c r="Y45" s="17" t="n"/>
      <c r="Z45" s="17" t="n"/>
      <c r="AA45" s="17" t="n"/>
      <c r="AB45" s="17" t="n"/>
      <c r="AC45" s="17" t="n"/>
      <c r="AD45" s="17" t="n"/>
      <c r="AE45" s="18">
        <f>IF(OR(Y45="",Y45=0),"",(AA45+AB45+AC45+AD45)/Y45)</f>
        <v/>
      </c>
    </row>
    <row r="46">
      <c r="A46" s="19" t="n">
        <v>45</v>
      </c>
      <c r="B46" s="19" t="inlineStr">
        <is>
          <t>12-TT-2200</t>
        </is>
      </c>
      <c r="C46" s="20" t="n">
        <v>46338</v>
      </c>
      <c r="D46" s="19" t="inlineStr">
        <is>
          <t>Thu</t>
        </is>
      </c>
      <c r="E46" s="19" t="inlineStr">
        <is>
          <t>22:00</t>
        </is>
      </c>
      <c r="F46" s="19" t="inlineStr">
        <is>
          <t>TikTok</t>
        </is>
      </c>
      <c r="G46" s="14" t="inlineStr">
        <is>
          <t>Video reply 30s</t>
        </is>
      </c>
      <c r="H46" s="14" t="inlineStr">
        <is>
          <t>Know Before You Go</t>
        </is>
      </c>
      <c r="I46" s="14" t="inlineStr">
        <is>
          <t>Global</t>
        </is>
      </c>
      <c r="J46" s="14" t="inlineStr">
        <is>
          <t>Visa in 60</t>
        </is>
      </c>
      <c r="K46" s="14" t="inlineStr">
        <is>
          <t>Week 1 comments</t>
        </is>
      </c>
      <c r="L46" s="15" t="inlineStr">
        <is>
          <t>Reply: how long does a Schengen visa take?</t>
        </is>
      </c>
      <c r="M46" s="14" t="inlineStr">
        <is>
          <t>Reply-to-comment sticker on screen</t>
        </is>
      </c>
      <c r="N46" s="14" t="inlineStr">
        <is>
          <t>How long does Schengen take?</t>
        </is>
      </c>
      <c r="O46" s="16" t="inlineStr">
        <is>
          <t>كم ياخذ فيزا شنغن؟</t>
        </is>
      </c>
      <c r="P46" s="16" t="inlineStr">
        <is>
          <t>رد على سؤالكم: كم ياخذ فيزا شنغن؟ ⏳</t>
        </is>
      </c>
      <c r="Q46" s="14" t="inlineStr">
        <is>
          <t>Answering your question: how long does a Schengen visa take?</t>
        </is>
      </c>
      <c r="R46" s="14" t="inlineStr">
        <is>
          <t>كم ياخذ فيزا شنغن, مدة تأشيرة شنغن</t>
        </is>
      </c>
      <c r="S46" s="16" t="inlineStr">
        <is>
          <t>#تأشيرة_شنغن #فيزا #سفر #مادا #السعودية</t>
        </is>
      </c>
      <c r="T46" s="14" t="inlineStr">
        <is>
          <t>Ask your next question</t>
        </is>
      </c>
      <c r="U46" s="14" t="inlineStr">
        <is>
          <t>Use TikTok's 'reply with video' on a real comment from the 2 Nov post. Concierge answers in 30s: up to 15 days standard after the appointment, longer in peak season. Book appointments early.</t>
        </is>
      </c>
      <c r="V46" s="14" t="inlineStr">
        <is>
          <t>Pick a real question. If none, use one from DMs (anonymised).</t>
        </is>
      </c>
      <c r="W46" s="14" t="inlineStr"/>
      <c r="X46" s="14" t="inlineStr">
        <is>
          <t>Scripted</t>
        </is>
      </c>
      <c r="Y46" s="17" t="n"/>
      <c r="Z46" s="17" t="n"/>
      <c r="AA46" s="17" t="n"/>
      <c r="AB46" s="17" t="n"/>
      <c r="AC46" s="17" t="n"/>
      <c r="AD46" s="17" t="n"/>
      <c r="AE46" s="18">
        <f>IF(OR(Y46="",Y46=0),"",(AA46+AB46+AC46+AD46)/Y46)</f>
        <v/>
      </c>
    </row>
    <row r="47">
      <c r="A47" s="21" t="n">
        <v>46</v>
      </c>
      <c r="B47" s="21" t="inlineStr">
        <is>
          <t>12-X-1300</t>
        </is>
      </c>
      <c r="C47" s="22" t="n">
        <v>46338</v>
      </c>
      <c r="D47" s="21" t="inlineStr">
        <is>
          <t>Thu</t>
        </is>
      </c>
      <c r="E47" s="21" t="inlineStr">
        <is>
          <t>13:00</t>
        </is>
      </c>
      <c r="F47" s="21" t="inlineStr">
        <is>
          <t>X</t>
        </is>
      </c>
      <c r="G47" s="14" t="inlineStr">
        <is>
          <t>Thread 6</t>
        </is>
      </c>
      <c r="H47" s="14" t="inlineStr">
        <is>
          <t>World Horizons</t>
        </is>
      </c>
      <c r="I47" s="14" t="inlineStr">
        <is>
          <t>Global</t>
        </is>
      </c>
      <c r="J47" s="14" t="inlineStr">
        <is>
          <t>Europe in Winter</t>
        </is>
      </c>
      <c r="K47" s="14" t="inlineStr">
        <is>
          <t>Europe winter</t>
        </is>
      </c>
      <c r="L47" s="15" t="inlineStr">
        <is>
          <t>Europe's winter markets 2026: opening dates</t>
        </is>
      </c>
      <c r="M47" s="16" t="inlineStr">
        <is>
          <t>أسواق الشتاء في أوروبا ٢٠٢٦: متى تفتح؟ 🧵❄️</t>
        </is>
      </c>
      <c r="N47" s="14" t="inlineStr"/>
      <c r="O47" s="14" t="inlineStr"/>
      <c r="P47" s="16" t="inlineStr">
        <is>
          <t>١/ أسواق الشتاء في أوروبا ٢٠٢٦: متى تفتح؟ 🧵
٢/ فيينا (قصر شونبرون): من ٦ نوفمبر
٣/ لندن (Winter Wonderland هايد بارك): من ١٩ نوفمبر
٤/ ستراسبورغ: من ٢٦ نوفمبر
٥/ براغ: من آخر نوفمبر
٦/ تبي برنامج كامل مع الفيزا والفنادق؟ كلمنا.</t>
        </is>
      </c>
      <c r="Q47" s="14" t="inlineStr">
        <is>
          <t>1/ Europe's winter markets 2026, opening dates. 2/ Vienna (Schönbrunn): from 6 Nov. 3/ London (Hyde Park Winter Wonderland): from 19 Nov. 4/ Strasbourg: from 26 Nov. 5/ Prague: from late Nov. 6/ Want a full plan with visa and hotels? Talk to us.</t>
        </is>
      </c>
      <c r="R47" s="14" t="inlineStr">
        <is>
          <t>اسواق اوروبا الشتوية</t>
        </is>
      </c>
      <c r="S47" s="16" t="inlineStr">
        <is>
          <t>#شتاء_أوروبا</t>
        </is>
      </c>
      <c r="T47" s="14" t="inlineStr">
        <is>
          <t>Bookmark / DM</t>
        </is>
      </c>
      <c r="U47" s="14" t="inlineStr">
        <is>
          <t>Image on tweet 1.</t>
        </is>
      </c>
      <c r="V47" s="14" t="inlineStr">
        <is>
          <t>Double-check dates against official market sites.</t>
        </is>
      </c>
      <c r="W47" s="14" t="inlineStr"/>
      <c r="X47" s="14" t="inlineStr">
        <is>
          <t>Scripted</t>
        </is>
      </c>
      <c r="Y47" s="17" t="n"/>
      <c r="Z47" s="17" t="n"/>
      <c r="AA47" s="17" t="n"/>
      <c r="AB47" s="17" t="n"/>
      <c r="AC47" s="17" t="n"/>
      <c r="AD47" s="17" t="n"/>
      <c r="AE47" s="18">
        <f>IF(OR(Y47="",Y47=0),"",(AA47+AB47+AC47+AD47)/Y47)</f>
        <v/>
      </c>
    </row>
    <row r="48">
      <c r="A48" s="23" t="n">
        <v>47</v>
      </c>
      <c r="B48" s="23" t="inlineStr">
        <is>
          <t>12-LI-0930</t>
        </is>
      </c>
      <c r="C48" s="24" t="n">
        <v>46338</v>
      </c>
      <c r="D48" s="23" t="inlineStr">
        <is>
          <t>Thu</t>
        </is>
      </c>
      <c r="E48" s="23" t="inlineStr">
        <is>
          <t>09:30</t>
        </is>
      </c>
      <c r="F48" s="23" t="inlineStr">
        <is>
          <t>LinkedIn</t>
        </is>
      </c>
      <c r="G48" s="14" t="inlineStr">
        <is>
          <t>Post (founder voice)</t>
        </is>
      </c>
      <c r="H48" s="14" t="inlineStr">
        <is>
          <t>One Call</t>
        </is>
      </c>
      <c r="I48" s="14" t="inlineStr">
        <is>
          <t>All</t>
        </is>
      </c>
      <c r="J48" s="14" t="inlineStr"/>
      <c r="K48" s="14" t="inlineStr">
        <is>
          <t>Evergreen</t>
        </is>
      </c>
      <c r="L48" s="15" t="inlineStr">
        <is>
          <t>Why we answer at 3 a.m.</t>
        </is>
      </c>
      <c r="M48" s="14" t="inlineStr">
        <is>
          <t>The most important call we took last month came at 3:12 a.m.</t>
        </is>
      </c>
      <c r="N48" s="14" t="inlineStr"/>
      <c r="O48" s="14" t="inlineStr"/>
      <c r="P48" s="14" t="inlineStr"/>
      <c r="Q48" s="14" t="inlineStr">
        <is>
          <t>The most important call we took last month came at 3:12 a.m.
A client's connection was cancelled at an airport six time zones away. The airline desk was closed. He had a meeting in Riyadh at 10.
By 3:40 he had a new route, a lounge and a car waiting at the other end.
We don't think of that as heroics. In travel, the moments that matter rarely happen during office hours. So we built a team that doesn't keep office hours.
That's the whole idea behind Mada: one call, at any hour, and everything moves.</t>
        </is>
      </c>
      <c r="R48" s="14" t="inlineStr">
        <is>
          <t>corporate travel management, travel concierge Riyadh</t>
        </is>
      </c>
      <c r="S48" s="14" t="inlineStr">
        <is>
          <t>#CorporateTravel #CustomerExperience #Riyadh</t>
        </is>
      </c>
      <c r="T48" s="14" t="inlineStr">
        <is>
          <t>Follow the page</t>
        </is>
      </c>
      <c r="U48" s="14" t="inlineStr">
        <is>
          <t>Post from the founder's profile; the company page reshares. A plain-text post with one candid team photo.</t>
        </is>
      </c>
      <c r="V48" s="14" t="inlineStr">
        <is>
          <t>Use a real (anonymised) case.</t>
        </is>
      </c>
      <c r="W48" s="14" t="inlineStr"/>
      <c r="X48" s="14" t="inlineStr">
        <is>
          <t>Scripted</t>
        </is>
      </c>
      <c r="Y48" s="17" t="n"/>
      <c r="Z48" s="17" t="n"/>
      <c r="AA48" s="17" t="n"/>
      <c r="AB48" s="17" t="n"/>
      <c r="AC48" s="17" t="n"/>
      <c r="AD48" s="17" t="n"/>
      <c r="AE48" s="18">
        <f>IF(OR(Y48="",Y48=0),"",(AA48+AB48+AC48+AD48)/Y48)</f>
        <v/>
      </c>
    </row>
    <row r="49">
      <c r="A49" s="12" t="n">
        <v>48</v>
      </c>
      <c r="B49" s="12" t="inlineStr">
        <is>
          <t>13-IG-2030</t>
        </is>
      </c>
      <c r="C49" s="13" t="n">
        <v>46339</v>
      </c>
      <c r="D49" s="12" t="inlineStr">
        <is>
          <t>Fri</t>
        </is>
      </c>
      <c r="E49" s="12" t="inlineStr">
        <is>
          <t>20:30</t>
        </is>
      </c>
      <c r="F49" s="12" t="inlineStr">
        <is>
          <t>Instagram</t>
        </is>
      </c>
      <c r="G49" s="14" t="inlineStr">
        <is>
          <t>Reel 30s</t>
        </is>
      </c>
      <c r="H49" s="14" t="inlineStr">
        <is>
          <t>One Call</t>
        </is>
      </c>
      <c r="I49" s="14" t="inlineStr">
        <is>
          <t>All</t>
        </is>
      </c>
      <c r="J49" s="14" t="inlineStr"/>
      <c r="K49" s="14" t="inlineStr">
        <is>
          <t>World Kindness Day (13 Nov)</t>
        </is>
      </c>
      <c r="L49" s="15" t="inlineStr">
        <is>
          <t>Small things we do that nobody asks for</t>
        </is>
      </c>
      <c r="M49" s="14" t="inlineStr">
        <is>
          <t>On-screen: Things we do that nobody asks for 🤍</t>
        </is>
      </c>
      <c r="N49" s="14" t="inlineStr">
        <is>
          <t>Small things nobody asks for</t>
        </is>
      </c>
      <c r="O49" s="16" t="inlineStr">
        <is>
          <t>أشياء صغيرة محد يطلبها</t>
        </is>
      </c>
      <c r="P49" s="16" t="inlineStr">
        <is>
          <t>اليوم العالمي للطف 🤍
أشياء صغيرة نسويها بدون ما أحد يطلبها:
كرسي متحرك جاهز لأمك عند البوابة، كرت بأوقات الصلاة في غرفتك، شاحن بالسيارة، وكلمة ترحيب بخط اليد.</t>
        </is>
      </c>
      <c r="Q49" s="14" t="inlineStr">
        <is>
          <t>World Kindness Day. Small things we do without being asked: a wheelchair waiting for your mother at the gate, a prayer-times card in your room, a charger in the car, a handwritten welcome note.</t>
        </is>
      </c>
      <c r="R49" s="14" t="inlineStr">
        <is>
          <t>خدمة عملاء, ضيافة, travel concierge</t>
        </is>
      </c>
      <c r="S49" s="16" t="inlineStr">
        <is>
          <t>#اليوم_العالمي_للطف #مادا #ضيافة #MadaTrips #سفر</t>
        </is>
      </c>
      <c r="T49" s="14" t="inlineStr">
        <is>
          <t>Share with someone who deserves this treatment</t>
        </is>
      </c>
      <c r="U49" s="14" t="inlineStr">
        <is>
          <t>Soft, slow close-ups of each gesture with handwritten-style labels. Piano or oud, gentle. Ends on the 'Horizon Card': a calligraphy welcome card that becomes our signature.</t>
        </is>
      </c>
      <c r="V49" s="14" t="inlineStr">
        <is>
          <t>Launches the 'Horizon Card' signature gesture. Ops must actually do it from now on.</t>
        </is>
      </c>
      <c r="W49" s="14" t="inlineStr"/>
      <c r="X49" s="14" t="inlineStr">
        <is>
          <t>Scripted</t>
        </is>
      </c>
      <c r="Y49" s="17" t="n"/>
      <c r="Z49" s="17" t="n"/>
      <c r="AA49" s="17" t="n"/>
      <c r="AB49" s="17" t="n"/>
      <c r="AC49" s="17" t="n"/>
      <c r="AD49" s="17" t="n"/>
      <c r="AE49" s="18">
        <f>IF(OR(Y49="",Y49=0),"",(AA49+AB49+AC49+AD49)/Y49)</f>
        <v/>
      </c>
    </row>
    <row r="50">
      <c r="A50" s="19" t="n">
        <v>49</v>
      </c>
      <c r="B50" s="19" t="inlineStr">
        <is>
          <t>13-TT-2100</t>
        </is>
      </c>
      <c r="C50" s="20" t="n">
        <v>46339</v>
      </c>
      <c r="D50" s="19" t="inlineStr">
        <is>
          <t>Fri</t>
        </is>
      </c>
      <c r="E50" s="19" t="inlineStr">
        <is>
          <t>21:00</t>
        </is>
      </c>
      <c r="F50" s="19" t="inlineStr">
        <is>
          <t>TikTok</t>
        </is>
      </c>
      <c r="G50" s="14" t="inlineStr">
        <is>
          <t>Video 25s</t>
        </is>
      </c>
      <c r="H50" s="14" t="inlineStr">
        <is>
          <t>One Call</t>
        </is>
      </c>
      <c r="I50" s="14" t="inlineStr">
        <is>
          <t>All</t>
        </is>
      </c>
      <c r="J50" s="14" t="inlineStr"/>
      <c r="K50" s="14" t="inlineStr">
        <is>
          <t>World Kindness Day</t>
        </is>
      </c>
      <c r="L50" s="15" t="inlineStr">
        <is>
          <t>Things we do without being asked</t>
        </is>
      </c>
      <c r="M50" s="16" t="inlineStr">
        <is>
          <t>On-screen: أشياء نسويها لعملاءنا… بدون ما يطلبونها 🤍</t>
        </is>
      </c>
      <c r="N50" s="14" t="inlineStr">
        <is>
          <t>Things we do without being asked</t>
        </is>
      </c>
      <c r="O50" s="16" t="inlineStr">
        <is>
          <t>نسويها بدون ما تطلبها</t>
        </is>
      </c>
      <c r="P50" s="16" t="inlineStr">
        <is>
          <t>أشياء صغيرة… بس تفرق 🤍 وش أكثر شي لطيف صار لك بسفرة؟</t>
        </is>
      </c>
      <c r="Q50" s="14" t="inlineStr">
        <is>
          <t>Small things that make a difference. What's the kindest thing that happened to you on a trip?</t>
        </is>
      </c>
      <c r="R50" s="14" t="inlineStr">
        <is>
          <t>خدمة عملاء سفر</t>
        </is>
      </c>
      <c r="S50" s="16" t="inlineStr">
        <is>
          <t>#اليوم_العالمي_للطف #سفر #مادا #السعودية #لطف</t>
        </is>
      </c>
      <c r="T50" s="14" t="inlineStr">
        <is>
          <t>Comment your story</t>
        </is>
      </c>
      <c r="U50" s="14" t="inlineStr">
        <is>
          <t>List format with a trending soft sound, one gesture per 4s.</t>
        </is>
      </c>
      <c r="V50" s="14" t="inlineStr"/>
      <c r="W50" s="14" t="inlineStr"/>
      <c r="X50" s="14" t="inlineStr">
        <is>
          <t>Scripted</t>
        </is>
      </c>
      <c r="Y50" s="17" t="n"/>
      <c r="Z50" s="17" t="n"/>
      <c r="AA50" s="17" t="n"/>
      <c r="AB50" s="17" t="n"/>
      <c r="AC50" s="17" t="n"/>
      <c r="AD50" s="17" t="n"/>
      <c r="AE50" s="18">
        <f>IF(OR(Y50="",Y50=0),"",(AA50+AB50+AC50+AD50)/Y50)</f>
        <v/>
      </c>
    </row>
    <row r="51">
      <c r="A51" s="21" t="n">
        <v>50</v>
      </c>
      <c r="B51" s="21" t="inlineStr">
        <is>
          <t>13-X-1300</t>
        </is>
      </c>
      <c r="C51" s="22" t="n">
        <v>46339</v>
      </c>
      <c r="D51" s="21" t="inlineStr">
        <is>
          <t>Fri</t>
        </is>
      </c>
      <c r="E51" s="21" t="inlineStr">
        <is>
          <t>13:00</t>
        </is>
      </c>
      <c r="F51" s="21" t="inlineStr">
        <is>
          <t>X</t>
        </is>
      </c>
      <c r="G51" s="14" t="inlineStr">
        <is>
          <t>Post</t>
        </is>
      </c>
      <c r="H51" s="14" t="inlineStr">
        <is>
          <t>World Horizons</t>
        </is>
      </c>
      <c r="I51" s="14" t="inlineStr">
        <is>
          <t>Global</t>
        </is>
      </c>
      <c r="J51" s="14" t="inlineStr">
        <is>
          <t>Europe in Winter</t>
        </is>
      </c>
      <c r="K51" s="14" t="inlineStr">
        <is>
          <t>Vienna Rathausplatz market (~13 Nov)</t>
        </is>
      </c>
      <c r="L51" s="15" t="inlineStr">
        <is>
          <t>Vienna's main winter market opens today</t>
        </is>
      </c>
      <c r="M51" s="16" t="inlineStr">
        <is>
          <t>سوق الشتاء في ساحة بلدية فيينا يفتح اليوم ❄️</t>
        </is>
      </c>
      <c r="N51" s="14" t="inlineStr"/>
      <c r="O51" s="14" t="inlineStr"/>
      <c r="P51" s="16" t="inlineStr">
        <is>
          <t>سوق الشتاء في ساحة بلدية فيينا يفتح اليوم ❄️ وموسم أسواق أوروبا رسمياً بدأ.
لو تفكر بإجازة منتصف العام (٨ يناير)، هذا وقت حجز الشنغن.</t>
        </is>
      </c>
      <c r="Q51" s="14" t="inlineStr">
        <is>
          <t>Vienna's Rathausplatz winter market opens today, and Europe's market season has officially begun. If you're thinking of the mid-year break (8 Jan), now is the time to book your Schengen appointment.</t>
        </is>
      </c>
      <c r="R51" s="14" t="inlineStr">
        <is>
          <t>فيينا في الشتاء, اسواق الشتاء اوروبا</t>
        </is>
      </c>
      <c r="S51" s="16" t="inlineStr">
        <is>
          <t>#شتاء_أوروبا</t>
        </is>
      </c>
      <c r="T51" s="14" t="inlineStr">
        <is>
          <t>DM</t>
        </is>
      </c>
      <c r="U51" s="14" t="inlineStr">
        <is>
          <t>One photo.</t>
        </is>
      </c>
      <c r="V51" s="14" t="inlineStr">
        <is>
          <t>Some sources say 15 Nov. Confirm before posting.</t>
        </is>
      </c>
      <c r="W51" s="14" t="inlineStr"/>
      <c r="X51" s="14" t="inlineStr">
        <is>
          <t>Scripted</t>
        </is>
      </c>
      <c r="Y51" s="17" t="n"/>
      <c r="Z51" s="17" t="n"/>
      <c r="AA51" s="17" t="n"/>
      <c r="AB51" s="17" t="n"/>
      <c r="AC51" s="17" t="n"/>
      <c r="AD51" s="17" t="n"/>
      <c r="AE51" s="18">
        <f>IF(OR(Y51="",Y51=0),"",(AA51+AB51+AC51+AD51)/Y51)</f>
        <v/>
      </c>
    </row>
    <row r="52">
      <c r="A52" s="21" t="n">
        <v>51</v>
      </c>
      <c r="B52" s="21" t="inlineStr">
        <is>
          <t>13-X-1730</t>
        </is>
      </c>
      <c r="C52" s="22" t="n">
        <v>46339</v>
      </c>
      <c r="D52" s="21" t="inlineStr">
        <is>
          <t>Fri</t>
        </is>
      </c>
      <c r="E52" s="21" t="inlineStr">
        <is>
          <t>17:30</t>
        </is>
      </c>
      <c r="F52" s="21" t="inlineStr">
        <is>
          <t>X</t>
        </is>
      </c>
      <c r="G52" s="14" t="inlineStr">
        <is>
          <t>Post</t>
        </is>
      </c>
      <c r="H52" s="14" t="inlineStr">
        <is>
          <t>Moments &amp; Offers</t>
        </is>
      </c>
      <c r="I52" s="14" t="inlineStr">
        <is>
          <t>All</t>
        </is>
      </c>
      <c r="J52" s="14" t="inlineStr"/>
      <c r="K52" s="14" t="inlineStr">
        <is>
          <t>World Kindness Day</t>
        </is>
      </c>
      <c r="L52" s="15" t="inlineStr">
        <is>
          <t>World Kindness Day question</t>
        </is>
      </c>
      <c r="M52" s="16" t="inlineStr">
        <is>
          <t>أحلى موقف لطيف صار لك من غريب وأنت مسافر؟</t>
        </is>
      </c>
      <c r="N52" s="14" t="inlineStr"/>
      <c r="O52" s="14" t="inlineStr"/>
      <c r="P52" s="16" t="inlineStr">
        <is>
          <t>اليوم العالمي للطف 🤍
وش أحلى موقف لطيف صار لك من شخص غريب وأنت مسافر؟</t>
        </is>
      </c>
      <c r="Q52" s="14" t="inlineStr">
        <is>
          <t>World Kindness Day. What's the kindest thing a stranger did for you while travelling?</t>
        </is>
      </c>
      <c r="R52" s="14" t="inlineStr"/>
      <c r="S52" s="16" t="inlineStr">
        <is>
          <t>#اليوم_العالمي_للطف</t>
        </is>
      </c>
      <c r="T52" s="14" t="inlineStr">
        <is>
          <t>Reply</t>
        </is>
      </c>
      <c r="U52" s="14" t="inlineStr">
        <is>
          <t>Text only. Quote-post the best replies through the day.</t>
        </is>
      </c>
      <c r="V52" s="14" t="inlineStr">
        <is>
          <t>Post after Asr, not during Friday prayer.</t>
        </is>
      </c>
      <c r="W52" s="14" t="inlineStr"/>
      <c r="X52" s="14" t="inlineStr">
        <is>
          <t>Scripted</t>
        </is>
      </c>
      <c r="Y52" s="17" t="n"/>
      <c r="Z52" s="17" t="n"/>
      <c r="AA52" s="17" t="n"/>
      <c r="AB52" s="17" t="n"/>
      <c r="AC52" s="17" t="n"/>
      <c r="AD52" s="17" t="n"/>
      <c r="AE52" s="18">
        <f>IF(OR(Y52="",Y52=0),"",(AA52+AB52+AC52+AD52)/Y52)</f>
        <v/>
      </c>
    </row>
    <row r="53">
      <c r="A53" s="12" t="n">
        <v>52</v>
      </c>
      <c r="B53" s="12" t="inlineStr">
        <is>
          <t>14-IG-2000</t>
        </is>
      </c>
      <c r="C53" s="13" t="n">
        <v>46340</v>
      </c>
      <c r="D53" s="12" t="inlineStr">
        <is>
          <t>Sat</t>
        </is>
      </c>
      <c r="E53" s="12" t="inlineStr">
        <is>
          <t>20:00</t>
        </is>
      </c>
      <c r="F53" s="12" t="inlineStr">
        <is>
          <t>Instagram</t>
        </is>
      </c>
      <c r="G53" s="14" t="inlineStr">
        <is>
          <t>Carousel 8</t>
        </is>
      </c>
      <c r="H53" s="14" t="inlineStr">
        <is>
          <t>Saudi &amp; Gulf Horizons</t>
        </is>
      </c>
      <c r="I53" s="14" t="inlineStr">
        <is>
          <t>Mixed</t>
        </is>
      </c>
      <c r="J53" s="14" t="inlineStr"/>
      <c r="K53" s="14" t="inlineStr">
        <is>
          <t>School autumn break 20-28 Nov</t>
        </is>
      </c>
      <c r="L53" s="15" t="inlineStr">
        <is>
          <t>Autumn break: 6 trips without a long flight</t>
        </is>
      </c>
      <c r="M53" s="14" t="inlineStr">
        <is>
          <t>Slide 1: Autumn break starts 20 Nov. 6 trips that don't need a long flight.</t>
        </is>
      </c>
      <c r="N53" s="14" t="inlineStr">
        <is>
          <t>Autumn break · 6 short trips</t>
        </is>
      </c>
      <c r="O53" s="16" t="inlineStr">
        <is>
          <t>إجازة الخريف · ٦ رحلات قريبة</t>
        </is>
      </c>
      <c r="P53" s="16" t="inlineStr">
        <is>
          <t>إجازة الخريف تبدأ ٢٠ نوفمبر 🍂
٦ رحلات ما تحتاج طيران طويل:
العلا · دبي (القرية العالمية) · القاهرة · إسطنبول · باكو (بدون فيزا) · تبليسي
احفظ وأرسله لأهلك 📌</t>
        </is>
      </c>
      <c r="Q53" s="14" t="inlineStr">
        <is>
          <t>The autumn break starts 20 November. 6 trips without a long flight: AlUla, Dubai (Global Village), Cairo, Istanbul, Baku (visa-free), Tbilisi. Save and send to your family.</t>
        </is>
      </c>
      <c r="R53" s="14" t="inlineStr">
        <is>
          <t>اجازة الخريف, وين نسافر في الاجازة, رحلات قريبة من الرياض</t>
        </is>
      </c>
      <c r="S53" s="16" t="inlineStr">
        <is>
          <t>#إجازة_الخريف #سفر_عائلي #إسطنبول #باكو #مادا</t>
        </is>
      </c>
      <c r="T53" s="14" t="inlineStr">
        <is>
          <t>Save + send to the family group</t>
        </is>
      </c>
      <c r="U53" s="14" t="inlineStr">
        <is>
          <t>One destination per slide: real photo, flight/drive time from Riyadh, 'best for' tag (families, couples, nature). Last slide: 'We still have dates. WhatsApp'.</t>
        </is>
      </c>
      <c r="V53" s="14" t="inlineStr">
        <is>
          <t>Ops to confirm availability before posting.</t>
        </is>
      </c>
      <c r="W53" s="14" t="inlineStr"/>
      <c r="X53" s="14" t="inlineStr">
        <is>
          <t>Scripted</t>
        </is>
      </c>
      <c r="Y53" s="17" t="n"/>
      <c r="Z53" s="17" t="n"/>
      <c r="AA53" s="17" t="n"/>
      <c r="AB53" s="17" t="n"/>
      <c r="AC53" s="17" t="n"/>
      <c r="AD53" s="17" t="n"/>
      <c r="AE53" s="18">
        <f>IF(OR(Y53="",Y53=0),"",(AA53+AB53+AC53+AD53)/Y53)</f>
        <v/>
      </c>
    </row>
    <row r="54">
      <c r="A54" s="19" t="n">
        <v>53</v>
      </c>
      <c r="B54" s="19" t="inlineStr">
        <is>
          <t>14-TT-2100</t>
        </is>
      </c>
      <c r="C54" s="20" t="n">
        <v>46340</v>
      </c>
      <c r="D54" s="19" t="inlineStr">
        <is>
          <t>Sat</t>
        </is>
      </c>
      <c r="E54" s="19" t="inlineStr">
        <is>
          <t>21:00</t>
        </is>
      </c>
      <c r="F54" s="19" t="inlineStr">
        <is>
          <t>TikTok</t>
        </is>
      </c>
      <c r="G54" s="14" t="inlineStr">
        <is>
          <t>Video 35s</t>
        </is>
      </c>
      <c r="H54" s="14" t="inlineStr">
        <is>
          <t>Saudi &amp; Gulf Horizons</t>
        </is>
      </c>
      <c r="I54" s="14" t="inlineStr">
        <is>
          <t>All</t>
        </is>
      </c>
      <c r="J54" s="14" t="inlineStr"/>
      <c r="K54" s="14" t="inlineStr">
        <is>
          <t>Autumn break countdown</t>
        </is>
      </c>
      <c r="L54" s="15" t="inlineStr">
        <is>
          <t>Autumn break in 6 days: 5 nearby escapes</t>
        </is>
      </c>
      <c r="M54" s="16" t="inlineStr">
        <is>
          <t>On-screen: باقي ٦ أيام على الإجازة ومافي خطة؟ 😅</t>
        </is>
      </c>
      <c r="N54" s="14" t="inlineStr">
        <is>
          <t>6 days to the break. No plan?</t>
        </is>
      </c>
      <c r="O54" s="16" t="inlineStr">
        <is>
          <t>باقي ٦ أيام ومافي خطة؟</t>
        </is>
      </c>
      <c r="P54" s="16" t="inlineStr">
        <is>
          <t>باقي ٦ أيام على إجازة الخريف ومافي خطة؟ 😅 هذي ٥ أماكن قريبة تلحق تحجزها 👇</t>
        </is>
      </c>
      <c r="Q54" s="14" t="inlineStr">
        <is>
          <t>6 days to the autumn break and no plan? Here are 5 nearby places you can still book.</t>
        </is>
      </c>
      <c r="R54" s="14" t="inlineStr">
        <is>
          <t>اجازة الخريف ١٤٤٨, وين اسافر في الاجازة القصيرة</t>
        </is>
      </c>
      <c r="S54" s="16" t="inlineStr">
        <is>
          <t>#إجازة_الخريف #سفر #السعودية #وين_نسافر #مادا</t>
        </is>
      </c>
      <c r="T54" s="14" t="inlineStr">
        <is>
          <t>Comment 'خطة' for a plan in DM</t>
        </is>
      </c>
      <c r="U54" s="14" t="inlineStr">
        <is>
          <t>Relatable opener (a panicked family group chat), then a fast 5-destination list with flight times.</t>
        </is>
      </c>
      <c r="V54" s="14" t="inlineStr"/>
      <c r="W54" s="14" t="inlineStr"/>
      <c r="X54" s="14" t="inlineStr">
        <is>
          <t>Scripted</t>
        </is>
      </c>
      <c r="Y54" s="17" t="n"/>
      <c r="Z54" s="17" t="n"/>
      <c r="AA54" s="17" t="n"/>
      <c r="AB54" s="17" t="n"/>
      <c r="AC54" s="17" t="n"/>
      <c r="AD54" s="17" t="n"/>
      <c r="AE54" s="18">
        <f>IF(OR(Y54="",Y54=0),"",(AA54+AB54+AC54+AD54)/Y54)</f>
        <v/>
      </c>
    </row>
    <row r="55">
      <c r="A55" s="21" t="n">
        <v>54</v>
      </c>
      <c r="B55" s="21" t="inlineStr">
        <is>
          <t>14-X-1300</t>
        </is>
      </c>
      <c r="C55" s="22" t="n">
        <v>46340</v>
      </c>
      <c r="D55" s="21" t="inlineStr">
        <is>
          <t>Sat</t>
        </is>
      </c>
      <c r="E55" s="21" t="inlineStr">
        <is>
          <t>13:00</t>
        </is>
      </c>
      <c r="F55" s="21" t="inlineStr">
        <is>
          <t>X</t>
        </is>
      </c>
      <c r="G55" s="14" t="inlineStr">
        <is>
          <t>Post</t>
        </is>
      </c>
      <c r="H55" s="14" t="inlineStr">
        <is>
          <t>Saudi &amp; Gulf Horizons</t>
        </is>
      </c>
      <c r="I55" s="14" t="inlineStr">
        <is>
          <t>Saudi</t>
        </is>
      </c>
      <c r="J55" s="14" t="inlineStr"/>
      <c r="K55" s="14" t="inlineStr">
        <is>
          <t>Autumn break</t>
        </is>
      </c>
      <c r="L55" s="15" t="inlineStr">
        <is>
          <t>Autumn break countdown</t>
        </is>
      </c>
      <c r="M55" s="16" t="inlineStr">
        <is>
          <t>باقي ٦ أيام على إجازة الخريف 🍂</t>
        </is>
      </c>
      <c r="N55" s="14" t="inlineStr"/>
      <c r="O55" s="14" t="inlineStr"/>
      <c r="P55" s="16" t="inlineStr">
        <is>
          <t>باقي ٦ أيام على إجازة الخريف 🍂
وين ناوين؟</t>
        </is>
      </c>
      <c r="Q55" s="14" t="inlineStr">
        <is>
          <t>6 days to the autumn break. Where are you heading?</t>
        </is>
      </c>
      <c r="R55" s="14" t="inlineStr">
        <is>
          <t>اجازة الخريف</t>
        </is>
      </c>
      <c r="S55" s="16" t="inlineStr">
        <is>
          <t>#إجازة_الخريف</t>
        </is>
      </c>
      <c r="T55" s="14" t="inlineStr">
        <is>
          <t>Reply</t>
        </is>
      </c>
      <c r="U55" s="14" t="inlineStr">
        <is>
          <t>Text only.</t>
        </is>
      </c>
      <c r="V55" s="14" t="inlineStr"/>
      <c r="W55" s="14" t="inlineStr"/>
      <c r="X55" s="14" t="inlineStr">
        <is>
          <t>Scripted</t>
        </is>
      </c>
      <c r="Y55" s="17" t="n"/>
      <c r="Z55" s="17" t="n"/>
      <c r="AA55" s="17" t="n"/>
      <c r="AB55" s="17" t="n"/>
      <c r="AC55" s="17" t="n"/>
      <c r="AD55" s="17" t="n"/>
      <c r="AE55" s="18">
        <f>IF(OR(Y55="",Y55=0),"",(AA55+AB55+AC55+AD55)/Y55)</f>
        <v/>
      </c>
    </row>
    <row r="56">
      <c r="A56" s="12" t="n">
        <v>55</v>
      </c>
      <c r="B56" s="12" t="inlineStr">
        <is>
          <t>15-IG-2030</t>
        </is>
      </c>
      <c r="C56" s="13" t="n">
        <v>46341</v>
      </c>
      <c r="D56" s="12" t="inlineStr">
        <is>
          <t>Sun</t>
        </is>
      </c>
      <c r="E56" s="12" t="inlineStr">
        <is>
          <t>20:30</t>
        </is>
      </c>
      <c r="F56" s="12" t="inlineStr">
        <is>
          <t>Instagram</t>
        </is>
      </c>
      <c r="G56" s="14" t="inlineStr">
        <is>
          <t>Reel 30s</t>
        </is>
      </c>
      <c r="H56" s="14" t="inlineStr">
        <is>
          <t>World Horizons</t>
        </is>
      </c>
      <c r="I56" s="14" t="inlineStr">
        <is>
          <t>Global</t>
        </is>
      </c>
      <c r="J56" s="14" t="inlineStr">
        <is>
          <t>Winter Escapes</t>
        </is>
      </c>
      <c r="K56" s="14" t="inlineStr">
        <is>
          <t>Saudia RUH-NRT nonstop from 17 Nov · Kyoto foliage peak late Nov</t>
        </is>
      </c>
      <c r="L56" s="15" t="inlineStr">
        <is>
          <t>Japan is now 10 hours away</t>
        </is>
      </c>
      <c r="M56" s="14" t="inlineStr">
        <is>
          <t>Text over a Kyoto maple-red frame: 'Riyadh → Tokyo. Nonstop. From 17 Nov.'</t>
        </is>
      </c>
      <c r="N56" s="14" t="inlineStr">
        <is>
          <t>Riyadh → Tokyo · nonstop · from 17 Nov</t>
        </is>
      </c>
      <c r="O56" s="16" t="inlineStr">
        <is>
          <t>الرياض ← طوكيو · مباشر · من ١٧ نوفمبر</t>
        </is>
      </c>
      <c r="P56" s="16" t="inlineStr">
        <is>
          <t>اليابان صارت على بعد ١٠ ساعات 🇯🇵
من ١٧ نوفمبر فيه طيران مباشر من الرياض لطوكيو، والموسم موسم أوراق الخريف في كيوتو 🍁
أول برنامج لنا لليابان جاهز. أرسل «اليابان» على الواتساب.</t>
        </is>
      </c>
      <c r="Q56" s="14" t="inlineStr">
        <is>
          <t>Japan is now 10 hours away. From 17 November there's a nonstop from Riyadh to Tokyo, right in Kyoto's autumn-leaves season. Our first Japan itinerary is ready. Send 'Japan' on WhatsApp.</t>
        </is>
      </c>
      <c r="R56" s="14" t="inlineStr">
        <is>
          <t>السفر لليابان من الرياض, طيران مباشر الرياض طوكيو, Japan from Riyadh</t>
        </is>
      </c>
      <c r="S56" s="16" t="inlineStr">
        <is>
          <t>#اليابان #طوكيو #كيوتو #سفر #مادا</t>
        </is>
      </c>
      <c r="T56" s="14" t="inlineStr">
        <is>
          <t>WhatsApp 'اليابان'</t>
        </is>
      </c>
      <c r="U56" s="14" t="inlineStr">
        <is>
          <t>Cinematic: a boarding-pass close-up 'RUH → NRT', then Tokyo crossing at night, Kyoto temple in red leaves, a bullet train, ramen (halal sign), Fuji. Soft Japanese-inspired instrumental. Licensed or Collab footage only.</t>
        </is>
      </c>
      <c r="V56" s="14" t="inlineStr">
        <is>
          <t>Mention the route generically ('nonstop from Riyadh'). Confirm Saudia's schedule the week of posting.</t>
        </is>
      </c>
      <c r="W56" s="14" t="inlineStr"/>
      <c r="X56" s="14" t="inlineStr">
        <is>
          <t>Scripted</t>
        </is>
      </c>
      <c r="Y56" s="17" t="n"/>
      <c r="Z56" s="17" t="n"/>
      <c r="AA56" s="17" t="n"/>
      <c r="AB56" s="17" t="n"/>
      <c r="AC56" s="17" t="n"/>
      <c r="AD56" s="17" t="n"/>
      <c r="AE56" s="18">
        <f>IF(OR(Y56="",Y56=0),"",(AA56+AB56+AC56+AD56)/Y56)</f>
        <v/>
      </c>
    </row>
    <row r="57">
      <c r="A57" s="19" t="n">
        <v>56</v>
      </c>
      <c r="B57" s="19" t="inlineStr">
        <is>
          <t>15-TT-2100</t>
        </is>
      </c>
      <c r="C57" s="20" t="n">
        <v>46341</v>
      </c>
      <c r="D57" s="19" t="inlineStr">
        <is>
          <t>Sun</t>
        </is>
      </c>
      <c r="E57" s="19" t="inlineStr">
        <is>
          <t>21:00</t>
        </is>
      </c>
      <c r="F57" s="19" t="inlineStr">
        <is>
          <t>TikTok</t>
        </is>
      </c>
      <c r="G57" s="14" t="inlineStr">
        <is>
          <t>Video 20s</t>
        </is>
      </c>
      <c r="H57" s="14" t="inlineStr">
        <is>
          <t>Saudi &amp; Gulf Horizons</t>
        </is>
      </c>
      <c r="I57" s="14" t="inlineStr">
        <is>
          <t>Saudi</t>
        </is>
      </c>
      <c r="J57" s="14" t="inlineStr"/>
      <c r="K57" s="14" t="inlineStr">
        <is>
          <t>Leonids 15 Nov</t>
        </is>
      </c>
      <c r="L57" s="15" t="inlineStr">
        <is>
          <t>Where to see the meteors near Riyadh</t>
        </is>
      </c>
      <c r="M57" s="16" t="inlineStr">
        <is>
          <t>On-screen: الليلة الشهب 🌠 وين تشوفها قرب الرياض؟</t>
        </is>
      </c>
      <c r="N57" s="14" t="inlineStr">
        <is>
          <t>Meteors tonight. Where near Riyadh?</t>
        </is>
      </c>
      <c r="O57" s="16" t="inlineStr">
        <is>
          <t>الشهب الليلة… وين قرب الرياض؟</t>
        </is>
      </c>
      <c r="P57" s="16" t="inlineStr">
        <is>
          <t>الليلة ذروة شهب الأسد 🌠 وين تشوفها قرب الرياض؟ 👇</t>
        </is>
      </c>
      <c r="Q57" s="14" t="inlineStr">
        <is>
          <t>The Leonids peak tonight. Where to see them near Riyadh.</t>
        </is>
      </c>
      <c r="R57" s="14" t="inlineStr">
        <is>
          <t>وين اشوف الشهب الرياض, شهب الاسد</t>
        </is>
      </c>
      <c r="S57" s="16" t="inlineStr">
        <is>
          <t>#شهب_الأسد #الرياض #رصد_النجوم #كشتة #مادا</t>
        </is>
      </c>
      <c r="T57" s="14" t="inlineStr">
        <is>
          <t>Comment if you're going out</t>
        </is>
      </c>
      <c r="U57" s="14" t="inlineStr">
        <is>
          <t>Map pop-ups: Edge of the World direction, the desert north of the city, the Thumamah area. Note: go with a group and tell someone your route.</t>
        </is>
      </c>
      <c r="V57" s="14" t="inlineStr">
        <is>
          <t>Safety line on screen.</t>
        </is>
      </c>
      <c r="W57" s="14" t="inlineStr"/>
      <c r="X57" s="14" t="inlineStr">
        <is>
          <t>Scripted</t>
        </is>
      </c>
      <c r="Y57" s="17" t="n"/>
      <c r="Z57" s="17" t="n"/>
      <c r="AA57" s="17" t="n"/>
      <c r="AB57" s="17" t="n"/>
      <c r="AC57" s="17" t="n"/>
      <c r="AD57" s="17" t="n"/>
      <c r="AE57" s="18">
        <f>IF(OR(Y57="",Y57=0),"",(AA57+AB57+AC57+AD57)/Y57)</f>
        <v/>
      </c>
    </row>
    <row r="58">
      <c r="A58" s="21" t="n">
        <v>57</v>
      </c>
      <c r="B58" s="21" t="inlineStr">
        <is>
          <t>15-X-1200</t>
        </is>
      </c>
      <c r="C58" s="22" t="n">
        <v>46341</v>
      </c>
      <c r="D58" s="21" t="inlineStr">
        <is>
          <t>Sun</t>
        </is>
      </c>
      <c r="E58" s="21" t="inlineStr">
        <is>
          <t>12:00</t>
        </is>
      </c>
      <c r="F58" s="21" t="inlineStr">
        <is>
          <t>X</t>
        </is>
      </c>
      <c r="G58" s="14" t="inlineStr">
        <is>
          <t>Post</t>
        </is>
      </c>
      <c r="H58" s="14" t="inlineStr">
        <is>
          <t>Saudi &amp; Gulf Horizons</t>
        </is>
      </c>
      <c r="I58" s="14" t="inlineStr">
        <is>
          <t>Saudi</t>
        </is>
      </c>
      <c r="J58" s="14" t="inlineStr"/>
      <c r="K58" s="14" t="inlineStr">
        <is>
          <t>Leonids</t>
        </is>
      </c>
      <c r="L58" s="15" t="inlineStr">
        <is>
          <t>Leonids alert</t>
        </is>
      </c>
      <c r="M58" s="16" t="inlineStr">
        <is>
          <t>الليلة ذروة شهب الأسد 🌠</t>
        </is>
      </c>
      <c r="N58" s="14" t="inlineStr"/>
      <c r="O58" s="14" t="inlineStr"/>
      <c r="P58" s="16" t="inlineStr">
        <is>
          <t>الليلة ذروة شهب الأسد 🌠
أفضل وقت بعد منتصف الليل، بعيد عن أنوار المدينة. شاركونا صوركم بالرد.</t>
        </is>
      </c>
      <c r="Q58" s="14" t="inlineStr">
        <is>
          <t>The Leonids peak tonight. Best after midnight, away from city lights. Share your photos in the replies.</t>
        </is>
      </c>
      <c r="R58" s="14" t="inlineStr">
        <is>
          <t>شهب الاسد</t>
        </is>
      </c>
      <c r="S58" s="16" t="inlineStr">
        <is>
          <t>#شهب_الأسد</t>
        </is>
      </c>
      <c r="T58" s="14" t="inlineStr">
        <is>
          <t>Reply with photos</t>
        </is>
      </c>
      <c r="U58" s="14" t="inlineStr">
        <is>
          <t>Text + one photo.</t>
        </is>
      </c>
      <c r="V58" s="14" t="inlineStr"/>
      <c r="W58" s="14" t="inlineStr"/>
      <c r="X58" s="14" t="inlineStr">
        <is>
          <t>Scripted</t>
        </is>
      </c>
      <c r="Y58" s="17" t="n"/>
      <c r="Z58" s="17" t="n"/>
      <c r="AA58" s="17" t="n"/>
      <c r="AB58" s="17" t="n"/>
      <c r="AC58" s="17" t="n"/>
      <c r="AD58" s="17" t="n"/>
      <c r="AE58" s="18">
        <f>IF(OR(Y58="",Y58=0),"",(AA58+AB58+AC58+AD58)/Y58)</f>
        <v/>
      </c>
    </row>
    <row r="59">
      <c r="A59" s="23" t="n">
        <v>58</v>
      </c>
      <c r="B59" s="23" t="inlineStr">
        <is>
          <t>15-LI-0930</t>
        </is>
      </c>
      <c r="C59" s="24" t="n">
        <v>46341</v>
      </c>
      <c r="D59" s="23" t="inlineStr">
        <is>
          <t>Sun</t>
        </is>
      </c>
      <c r="E59" s="23" t="inlineStr">
        <is>
          <t>09:30</t>
        </is>
      </c>
      <c r="F59" s="23" t="inlineStr">
        <is>
          <t>LinkedIn</t>
        </is>
      </c>
      <c r="G59" s="14" t="inlineStr">
        <is>
          <t>Document 6 pages</t>
        </is>
      </c>
      <c r="H59" s="14" t="inlineStr">
        <is>
          <t>Events &amp; Business</t>
        </is>
      </c>
      <c r="I59" s="14" t="inlineStr">
        <is>
          <t>B2B</t>
        </is>
      </c>
      <c r="J59" s="14" t="inlineStr"/>
      <c r="K59" s="14" t="inlineStr">
        <is>
          <t>Cityscape Global 16-19 Nov</t>
        </is>
      </c>
      <c r="L59" s="15" t="inlineStr">
        <is>
          <t>Cityscape Global week: visitor logistics</t>
        </is>
      </c>
      <c r="M59" s="14" t="inlineStr">
        <is>
          <t>Page 1: Flying in for Cityscape Global (16-19 Nov)? Read this first.</t>
        </is>
      </c>
      <c r="N59" s="14" t="inlineStr">
        <is>
          <t>Cityscape Global 2026: the visitor's brief</t>
        </is>
      </c>
      <c r="O59" s="14" t="inlineStr"/>
      <c r="P59" s="14" t="inlineStr"/>
      <c r="Q59" s="14" t="inlineStr">
        <is>
          <t>Cityscape Global opens tomorrow at the Riyadh Exhibition &amp; Convention Centre, Malham (16-19 Nov, 12:00-22:00).
If your team is flying in, our brief:
• Malham is a drive from central Riyadh, so plan transfers by session, not by hotel
• Stay where your evening meetings are
• Doors open at noon, so use mornings for meetings
• Visitors must be 18+
• Book return transfers for 22:00, when everyone leaves at once
Need rooms, cars or a meeting space during the show? We still have capacity.</t>
        </is>
      </c>
      <c r="R59" s="14" t="inlineStr">
        <is>
          <t>Cityscape Global 2026, Riyadh exhibition travel, corporate transfers Riyadh</t>
        </is>
      </c>
      <c r="S59" s="14" t="inlineStr">
        <is>
          <t>#CityscapeGlobal #Riyadh #RealEstate #BusinessTravel</t>
        </is>
      </c>
      <c r="T59" s="14" t="inlineStr">
        <is>
          <t>DM for rooms or transfers</t>
        </is>
      </c>
      <c r="U59" s="14" t="inlineStr">
        <is>
          <t>Short document: map graphic, timeline, tips. Brand colours.</t>
        </is>
      </c>
      <c r="V59" s="14" t="inlineStr">
        <is>
          <t>Ops to confirm capacity before 'we still have capacity'.</t>
        </is>
      </c>
      <c r="W59" s="14" t="inlineStr"/>
      <c r="X59" s="14" t="inlineStr">
        <is>
          <t>Scripted</t>
        </is>
      </c>
      <c r="Y59" s="17" t="n"/>
      <c r="Z59" s="17" t="n"/>
      <c r="AA59" s="17" t="n"/>
      <c r="AB59" s="17" t="n"/>
      <c r="AC59" s="17" t="n"/>
      <c r="AD59" s="17" t="n"/>
      <c r="AE59" s="18">
        <f>IF(OR(Y59="",Y59=0),"",(AA59+AB59+AC59+AD59)/Y59)</f>
        <v/>
      </c>
    </row>
    <row r="60">
      <c r="A60" s="12" t="n">
        <v>59</v>
      </c>
      <c r="B60" s="12" t="inlineStr">
        <is>
          <t>16-IG-2030</t>
        </is>
      </c>
      <c r="C60" s="13" t="n">
        <v>46342</v>
      </c>
      <c r="D60" s="12" t="inlineStr">
        <is>
          <t>Mon</t>
        </is>
      </c>
      <c r="E60" s="12" t="inlineStr">
        <is>
          <t>20:30</t>
        </is>
      </c>
      <c r="F60" s="12" t="inlineStr">
        <is>
          <t>Instagram</t>
        </is>
      </c>
      <c r="G60" s="14" t="inlineStr">
        <is>
          <t>Carousel 8</t>
        </is>
      </c>
      <c r="H60" s="14" t="inlineStr">
        <is>
          <t>Know Before You Go</t>
        </is>
      </c>
      <c r="I60" s="14" t="inlineStr">
        <is>
          <t>Saudi</t>
        </is>
      </c>
      <c r="J60" s="14" t="inlineStr"/>
      <c r="K60" s="14" t="inlineStr">
        <is>
          <t>International Day for Tolerance (16 Nov) · Cityscape visitors</t>
        </is>
      </c>
      <c r="L60" s="15" t="inlineStr">
        <is>
          <t>Hosting guests from abroad: a Saudi hospitality guide</t>
        </is>
      </c>
      <c r="M60" s="14" t="inlineStr">
        <is>
          <t>Slide 1: Guests coming to Saudi? 7 things they'll love to know.</t>
        </is>
      </c>
      <c r="N60" s="14" t="inlineStr">
        <is>
          <t>Hosting guests in Saudi: 7 things to tell them</t>
        </is>
      </c>
      <c r="O60" s="16" t="inlineStr">
        <is>
          <t>ضيوفك جايين السعودية؟ ٧ أشياء قلها لهم</t>
        </is>
      </c>
      <c r="P60" s="16" t="inlineStr">
        <is>
          <t>اليوم الدولي للتسامح 🤝
جايك ضيوف من برا؟ أرسل لهم هذا الدليل: القهوة السعودية، اللبس، أوقات الصلاة، الجمعة، البقشيش، الترحيب، والأكل.
(The guide is in English for your guests 👇)</t>
        </is>
      </c>
      <c r="Q60" s="14" t="inlineStr">
        <is>
          <t>International Day for Tolerance. Guests coming from abroad? Send them this: Saudi coffee, what to wear, prayer times, Fridays, tipping, greetings and food.</t>
        </is>
      </c>
      <c r="R60" s="14" t="inlineStr">
        <is>
          <t>Saudi etiquette for visitors, Saudi Arabia travel tips, ضيافة سعودية</t>
        </is>
      </c>
      <c r="S60" s="16" t="inlineStr">
        <is>
          <t>#SaudiArabia #VisitSaudi #ضيافة #مادا #Riyadh</t>
        </is>
      </c>
      <c r="T60" s="14" t="inlineStr">
        <is>
          <t>Send to your guests</t>
        </is>
      </c>
      <c r="U60" s="14" t="inlineStr">
        <is>
          <t>Bilingual, English-led slides, so Saudi followers can forward them to foreign guests. Warm illustration style: a dallah, a finjan, a prayer-time clock.</t>
        </is>
      </c>
      <c r="V60" s="14" t="inlineStr"/>
      <c r="W60" s="14" t="inlineStr"/>
      <c r="X60" s="14" t="inlineStr">
        <is>
          <t>Scripted</t>
        </is>
      </c>
      <c r="Y60" s="17" t="n"/>
      <c r="Z60" s="17" t="n"/>
      <c r="AA60" s="17" t="n"/>
      <c r="AB60" s="17" t="n"/>
      <c r="AC60" s="17" t="n"/>
      <c r="AD60" s="17" t="n"/>
      <c r="AE60" s="18">
        <f>IF(OR(Y60="",Y60=0),"",(AA60+AB60+AC60+AD60)/Y60)</f>
        <v/>
      </c>
    </row>
    <row r="61">
      <c r="A61" s="19" t="n">
        <v>60</v>
      </c>
      <c r="B61" s="19" t="inlineStr">
        <is>
          <t>16-TT-2100</t>
        </is>
      </c>
      <c r="C61" s="20" t="n">
        <v>46342</v>
      </c>
      <c r="D61" s="19" t="inlineStr">
        <is>
          <t>Mon</t>
        </is>
      </c>
      <c r="E61" s="19" t="inlineStr">
        <is>
          <t>21:00</t>
        </is>
      </c>
      <c r="F61" s="19" t="inlineStr">
        <is>
          <t>TikTok</t>
        </is>
      </c>
      <c r="G61" s="14" t="inlineStr">
        <is>
          <t>Video 30s (English)</t>
        </is>
      </c>
      <c r="H61" s="14" t="inlineStr">
        <is>
          <t>Know Before You Go</t>
        </is>
      </c>
      <c r="I61" s="14" t="inlineStr">
        <is>
          <t>Saudi</t>
        </is>
      </c>
      <c r="J61" s="14" t="inlineStr"/>
      <c r="K61" s="14" t="inlineStr">
        <is>
          <t>Tolerance Day · inbound visitors</t>
        </is>
      </c>
      <c r="L61" s="15" t="inlineStr">
        <is>
          <t>Saudi coffee etiquette in 30 seconds</t>
        </is>
      </c>
      <c r="M61" s="14" t="inlineStr">
        <is>
          <t>On-screen: Never do THIS with Saudi coffee ☕ (shake gesture)</t>
        </is>
      </c>
      <c r="N61" s="14" t="inlineStr">
        <is>
          <t>Saudi coffee: the shake rule</t>
        </is>
      </c>
      <c r="O61" s="16" t="inlineStr">
        <is>
          <t>القهوة السعودية: سالفة الهز</t>
        </is>
      </c>
      <c r="P61" s="16" t="inlineStr">
        <is>
          <t>Saudi coffee etiquette in 30 seconds ☕ Did you know the shake? / تعرف سالفة هز الفنجال؟</t>
        </is>
      </c>
      <c r="Q61" s="14" t="inlineStr">
        <is>
          <t>Saudi coffee etiquette in 30 seconds. Did you know about the shake?</t>
        </is>
      </c>
      <c r="R61" s="14" t="inlineStr">
        <is>
          <t>Saudi coffee etiquette, Saudi culture, القهوة السعودية</t>
        </is>
      </c>
      <c r="S61" s="16" t="inlineStr">
        <is>
          <t>#SaudiCoffee #SaudiArabia #Riyadh #القهوة_السعودية #مادا</t>
        </is>
      </c>
      <c r="T61" s="14" t="inlineStr">
        <is>
          <t>Follow for more Saudi tips</t>
        </is>
      </c>
      <c r="U61" s="14" t="inlineStr">
        <is>
          <t>English-led TikTok for expats and visitors (one a week). The host pours: right hand, small amounts, shake the cup when you're done. A playful tone.</t>
        </is>
      </c>
      <c r="V61" s="14" t="inlineStr"/>
      <c r="W61" s="14" t="inlineStr"/>
      <c r="X61" s="14" t="inlineStr">
        <is>
          <t>Scripted</t>
        </is>
      </c>
      <c r="Y61" s="17" t="n"/>
      <c r="Z61" s="17" t="n"/>
      <c r="AA61" s="17" t="n"/>
      <c r="AB61" s="17" t="n"/>
      <c r="AC61" s="17" t="n"/>
      <c r="AD61" s="17" t="n"/>
      <c r="AE61" s="18">
        <f>IF(OR(Y61="",Y61=0),"",(AA61+AB61+AC61+AD61)/Y61)</f>
        <v/>
      </c>
    </row>
    <row r="62">
      <c r="A62" s="21" t="n">
        <v>61</v>
      </c>
      <c r="B62" s="21" t="inlineStr">
        <is>
          <t>16-X-1300</t>
        </is>
      </c>
      <c r="C62" s="22" t="n">
        <v>46342</v>
      </c>
      <c r="D62" s="21" t="inlineStr">
        <is>
          <t>Mon</t>
        </is>
      </c>
      <c r="E62" s="21" t="inlineStr">
        <is>
          <t>13:00</t>
        </is>
      </c>
      <c r="F62" s="21" t="inlineStr">
        <is>
          <t>X</t>
        </is>
      </c>
      <c r="G62" s="14" t="inlineStr">
        <is>
          <t>Thread 4</t>
        </is>
      </c>
      <c r="H62" s="14" t="inlineStr">
        <is>
          <t>Events &amp; Business</t>
        </is>
      </c>
      <c r="I62" s="14" t="inlineStr">
        <is>
          <t>B2B</t>
        </is>
      </c>
      <c r="J62" s="14" t="inlineStr"/>
      <c r="K62" s="14" t="inlineStr">
        <is>
          <t>Cityscape Global</t>
        </is>
      </c>
      <c r="L62" s="15" t="inlineStr">
        <is>
          <t>Cityscape Global: visitor tips</t>
        </is>
      </c>
      <c r="M62" s="16" t="inlineStr">
        <is>
          <t>رايح سيتي سكيب جلوبال؟ ٤ نصايح 🧵</t>
        </is>
      </c>
      <c r="N62" s="14" t="inlineStr"/>
      <c r="O62" s="14" t="inlineStr"/>
      <c r="P62" s="16" t="inlineStr">
        <is>
          <t>١/ رايح سيتي سكيب جلوبال (١٦–١٩ نوفمبر، ملهم)؟ ٤ نصايح 🧵
٢/ الأبواب تفتح ١٢ الظهر، فخل الصباح لاجتماعاتك.
٣/ المعرض بعيد عن وسط الرياض، فاحسب وقت الطريق.
٤/ الكل يطلع ١٠ بالليل، فاحجز رجعتك من بدري. نقدر نرتب لك السيارة.</t>
        </is>
      </c>
      <c r="Q62" s="14" t="inlineStr">
        <is>
          <t>1/ Going to Cityscape Global (16-19 Nov, Malham)? 4 tips. 2/ Doors open at noon, so keep mornings for meetings. 3/ It's a drive from central Riyadh. 4/ Everyone leaves at 10pm, so book your ride home early. We can arrange the car.</t>
        </is>
      </c>
      <c r="R62" s="14" t="inlineStr">
        <is>
          <t>سيتي سكيب ٢٠٢٦</t>
        </is>
      </c>
      <c r="S62" s="16" t="inlineStr">
        <is>
          <t>#سيتي_سكيب</t>
        </is>
      </c>
      <c r="T62" s="14" t="inlineStr">
        <is>
          <t>DM</t>
        </is>
      </c>
      <c r="U62" s="14" t="inlineStr">
        <is>
          <t>Text thread.</t>
        </is>
      </c>
      <c r="V62" s="14" t="inlineStr"/>
      <c r="W62" s="14" t="inlineStr"/>
      <c r="X62" s="14" t="inlineStr">
        <is>
          <t>Scripted</t>
        </is>
      </c>
      <c r="Y62" s="17" t="n"/>
      <c r="Z62" s="17" t="n"/>
      <c r="AA62" s="17" t="n"/>
      <c r="AB62" s="17" t="n"/>
      <c r="AC62" s="17" t="n"/>
      <c r="AD62" s="17" t="n"/>
      <c r="AE62" s="18">
        <f>IF(OR(Y62="",Y62=0),"",(AA62+AB62+AC62+AD62)/Y62)</f>
        <v/>
      </c>
    </row>
    <row r="63">
      <c r="A63" s="12" t="n">
        <v>62</v>
      </c>
      <c r="B63" s="12" t="inlineStr">
        <is>
          <t>17-IG-2030</t>
        </is>
      </c>
      <c r="C63" s="13" t="n">
        <v>46343</v>
      </c>
      <c r="D63" s="12" t="inlineStr">
        <is>
          <t>Tue</t>
        </is>
      </c>
      <c r="E63" s="12" t="inlineStr">
        <is>
          <t>20:30</t>
        </is>
      </c>
      <c r="F63" s="12" t="inlineStr">
        <is>
          <t>Instagram</t>
        </is>
      </c>
      <c r="G63" s="14" t="inlineStr">
        <is>
          <t>Reel 40s</t>
        </is>
      </c>
      <c r="H63" s="14" t="inlineStr">
        <is>
          <t>One Call</t>
        </is>
      </c>
      <c r="I63" s="14" t="inlineStr">
        <is>
          <t>All</t>
        </is>
      </c>
      <c r="J63" s="14" t="inlineStr">
        <is>
          <t>One Call</t>
        </is>
      </c>
      <c r="K63" s="14" t="inlineStr">
        <is>
          <t>Autumn break</t>
        </is>
      </c>
      <c r="L63" s="15" t="inlineStr">
        <is>
          <t>One Call #2: a family of 7, 48 hours to plan</t>
        </is>
      </c>
      <c r="M63" s="16" t="inlineStr">
        <is>
          <t>Voice note: 'نبي نسافر الإجازة… سبعة أشخاص… وما حجزنا شي' 😅</t>
        </is>
      </c>
      <c r="N63" s="14" t="inlineStr">
        <is>
          <t>7 people. 48 hours. Done.</t>
        </is>
      </c>
      <c r="O63" s="16" t="inlineStr">
        <is>
          <t>٧ أشخاص. ٤٨ ساعة. تم.</t>
        </is>
      </c>
      <c r="P63" s="16" t="inlineStr">
        <is>
          <t>عائلة من ٧ أشخاص، باقي ٤٨ ساعة على الإجازة، وما حجزوا شي 😅
هذي كيف خلصناها 👇 «مكالمة وحدة» الحلقة ٢</t>
        </is>
      </c>
      <c r="Q63" s="14" t="inlineStr">
        <is>
          <t>A family of 7, 48 hours to the break, nothing booked. Here's how we did it. 'One Call', episode 2.</t>
        </is>
      </c>
      <c r="R63" s="14" t="inlineStr">
        <is>
          <t>حجز رحلة عائلية, باقات عائلية, family trip planning</t>
        </is>
      </c>
      <c r="S63" s="16" t="inlineStr">
        <is>
          <t>#مكالمة_وحدة #إجازة_الخريف #سفر_عائلي #مادا #MadaTrips</t>
        </is>
      </c>
      <c r="T63" s="14" t="inlineStr">
        <is>
          <t>Comment your request for episode 3</t>
        </is>
      </c>
      <c r="U63" s="14" t="inlineStr">
        <is>
          <t>Same split-screen format as #1, with a checklist ticking on screen: 2 rooms connecting, child seats in the car, aisle seats together, halal-friendly restaurants. No children's faces.</t>
        </is>
      </c>
      <c r="V63" s="14" t="inlineStr">
        <is>
          <t>No children on camera (GAMR guidance). Show hands, luggage, backs.</t>
        </is>
      </c>
      <c r="W63" s="14" t="inlineStr"/>
      <c r="X63" s="14" t="inlineStr">
        <is>
          <t>Scripted</t>
        </is>
      </c>
      <c r="Y63" s="17" t="n"/>
      <c r="Z63" s="17" t="n"/>
      <c r="AA63" s="17" t="n"/>
      <c r="AB63" s="17" t="n"/>
      <c r="AC63" s="17" t="n"/>
      <c r="AD63" s="17" t="n"/>
      <c r="AE63" s="18">
        <f>IF(OR(Y63="",Y63=0),"",(AA63+AB63+AC63+AD63)/Y63)</f>
        <v/>
      </c>
    </row>
    <row r="64">
      <c r="A64" s="19" t="n">
        <v>63</v>
      </c>
      <c r="B64" s="19" t="inlineStr">
        <is>
          <t>17-TT-2100</t>
        </is>
      </c>
      <c r="C64" s="20" t="n">
        <v>46343</v>
      </c>
      <c r="D64" s="19" t="inlineStr">
        <is>
          <t>Tue</t>
        </is>
      </c>
      <c r="E64" s="19" t="inlineStr">
        <is>
          <t>21:00</t>
        </is>
      </c>
      <c r="F64" s="19" t="inlineStr">
        <is>
          <t>TikTok</t>
        </is>
      </c>
      <c r="G64" s="14" t="inlineStr">
        <is>
          <t>Video 50s</t>
        </is>
      </c>
      <c r="H64" s="14" t="inlineStr">
        <is>
          <t>Know Before You Go</t>
        </is>
      </c>
      <c r="I64" s="14" t="inlineStr">
        <is>
          <t>Global</t>
        </is>
      </c>
      <c r="J64" s="14" t="inlineStr">
        <is>
          <t>Visa in 60</t>
        </is>
      </c>
      <c r="K64" s="14" t="inlineStr">
        <is>
          <t>Saudia RUH-NRT launch (17 Nov)</t>
        </is>
      </c>
      <c r="L64" s="15" t="inlineStr">
        <is>
          <t>Japan nonstop starts today: 5 things to know</t>
        </is>
      </c>
      <c r="M64" s="16" t="inlineStr">
        <is>
          <t>VO + on-screen: من اليوم: الرياض لطوكيو مباشر ✈️ ٥ أشياء لازم تعرفها</t>
        </is>
      </c>
      <c r="N64" s="14" t="inlineStr">
        <is>
          <t>Riyadh → Tokyo nonstop: 5 things to know</t>
        </is>
      </c>
      <c r="O64" s="16" t="inlineStr">
        <is>
          <t>الرياض لطوكيو مباشر: ٥ أشياء</t>
        </is>
      </c>
      <c r="P64" s="16" t="inlineStr">
        <is>
          <t>من اليوم فيه طيران مباشر من الرياض لطوكيو 🇯🇵 ٥ أشياء لازم تعرفها قبل تحجز 👇</t>
        </is>
      </c>
      <c r="Q64" s="14" t="inlineStr">
        <is>
          <t>From today there's a nonstop from Riyadh to Tokyo. 5 things to know before you book.</t>
        </is>
      </c>
      <c r="R64" s="14" t="inlineStr">
        <is>
          <t>فيزا اليابان للسعوديين, السفر لليابان, طيران الرياض طوكيو</t>
        </is>
      </c>
      <c r="S64" s="16" t="inlineStr">
        <is>
          <t>#اليابان #فيزا_اليابان #طوكيو #سفر #مادا</t>
        </is>
      </c>
      <c r="T64" s="14" t="inlineStr">
        <is>
          <t>Save + follow</t>
        </is>
      </c>
      <c r="U64" s="14" t="inlineStr">
        <is>
          <t>Concierge explains: (1) the eVisa (apply online, before booking hotels) (2) 3 flights a week, so dates matter (3) Kyoto leaves peak late Nov-early Dec (4) halal food apps &amp; prayer rooms (5) Sapporo Snow Festival 4-11 Feb for families.</t>
        </is>
      </c>
      <c r="V64" s="14" t="inlineStr">
        <is>
          <t>Verify the Japan eVISA eligibility wording for Saudi nationals on the Japanese MOFA site.</t>
        </is>
      </c>
      <c r="W64" s="14" t="inlineStr"/>
      <c r="X64" s="14" t="inlineStr">
        <is>
          <t>Scripted</t>
        </is>
      </c>
      <c r="Y64" s="17" t="n"/>
      <c r="Z64" s="17" t="n"/>
      <c r="AA64" s="17" t="n"/>
      <c r="AB64" s="17" t="n"/>
      <c r="AC64" s="17" t="n"/>
      <c r="AD64" s="17" t="n"/>
      <c r="AE64" s="18">
        <f>IF(OR(Y64="",Y64=0),"",(AA64+AB64+AC64+AD64)/Y64)</f>
        <v/>
      </c>
    </row>
    <row r="65">
      <c r="A65" s="21" t="n">
        <v>64</v>
      </c>
      <c r="B65" s="21" t="inlineStr">
        <is>
          <t>17-X-1300</t>
        </is>
      </c>
      <c r="C65" s="22" t="n">
        <v>46343</v>
      </c>
      <c r="D65" s="21" t="inlineStr">
        <is>
          <t>Tue</t>
        </is>
      </c>
      <c r="E65" s="21" t="inlineStr">
        <is>
          <t>13:00</t>
        </is>
      </c>
      <c r="F65" s="21" t="inlineStr">
        <is>
          <t>X</t>
        </is>
      </c>
      <c r="G65" s="14" t="inlineStr">
        <is>
          <t>Post</t>
        </is>
      </c>
      <c r="H65" s="14" t="inlineStr">
        <is>
          <t>World Horizons</t>
        </is>
      </c>
      <c r="I65" s="14" t="inlineStr">
        <is>
          <t>Global</t>
        </is>
      </c>
      <c r="J65" s="14" t="inlineStr"/>
      <c r="K65" s="14" t="inlineStr">
        <is>
          <t>Saudia RUH-NRT launch</t>
        </is>
      </c>
      <c r="L65" s="15" t="inlineStr">
        <is>
          <t>Japan route news</t>
        </is>
      </c>
      <c r="M65" s="16" t="inlineStr">
        <is>
          <t>من اليوم: الرياض ← طوكيو مباشر 🇯🇵</t>
        </is>
      </c>
      <c r="N65" s="14" t="inlineStr"/>
      <c r="O65" s="14" t="inlineStr"/>
      <c r="P65" s="16" t="inlineStr">
        <is>
          <t>من اليوم: طيران مباشر من الرياض لطوكيو ٣ مرات بالأسبوع 🇯🇵
أول مرة اليابان تصير بهالقرب. تبي برنامج؟ نرتبه لك من الفيزا للفندق.</t>
        </is>
      </c>
      <c r="Q65" s="14" t="inlineStr">
        <is>
          <t>From today: a nonstop from Riyadh to Tokyo, 3 times a week. Japan has never been this close. Want a plan? We'll arrange it from the visa to the hotel.</t>
        </is>
      </c>
      <c r="R65" s="14" t="inlineStr">
        <is>
          <t>طيران مباشر الرياض طوكيو</t>
        </is>
      </c>
      <c r="S65" s="16" t="inlineStr">
        <is>
          <t>#اليابان</t>
        </is>
      </c>
      <c r="T65" s="14" t="inlineStr">
        <is>
          <t>DM</t>
        </is>
      </c>
      <c r="U65" s="14" t="inlineStr">
        <is>
          <t>One photo of Kyoto in autumn.</t>
        </is>
      </c>
      <c r="V65" s="14" t="inlineStr">
        <is>
          <t>Confirm the first flight operated before posting.</t>
        </is>
      </c>
      <c r="W65" s="14" t="inlineStr"/>
      <c r="X65" s="14" t="inlineStr">
        <is>
          <t>Scripted</t>
        </is>
      </c>
      <c r="Y65" s="17" t="n"/>
      <c r="Z65" s="17" t="n"/>
      <c r="AA65" s="17" t="n"/>
      <c r="AB65" s="17" t="n"/>
      <c r="AC65" s="17" t="n"/>
      <c r="AD65" s="17" t="n"/>
      <c r="AE65" s="18">
        <f>IF(OR(Y65="",Y65=0),"",(AA65+AB65+AC65+AD65)/Y65)</f>
        <v/>
      </c>
    </row>
    <row r="66">
      <c r="A66" s="21" t="n">
        <v>65</v>
      </c>
      <c r="B66" s="21" t="inlineStr">
        <is>
          <t>17-X-1800</t>
        </is>
      </c>
      <c r="C66" s="22" t="n">
        <v>46343</v>
      </c>
      <c r="D66" s="21" t="inlineStr">
        <is>
          <t>Tue</t>
        </is>
      </c>
      <c r="E66" s="21" t="inlineStr">
        <is>
          <t>18:00</t>
        </is>
      </c>
      <c r="F66" s="21" t="inlineStr">
        <is>
          <t>X</t>
        </is>
      </c>
      <c r="G66" s="14" t="inlineStr">
        <is>
          <t>Poll</t>
        </is>
      </c>
      <c r="H66" s="14" t="inlineStr">
        <is>
          <t>Saudi &amp; Gulf Horizons</t>
        </is>
      </c>
      <c r="I66" s="14" t="inlineStr">
        <is>
          <t>Saudi</t>
        </is>
      </c>
      <c r="J66" s="14" t="inlineStr"/>
      <c r="K66" s="14" t="inlineStr">
        <is>
          <t>Autumn break</t>
        </is>
      </c>
      <c r="L66" s="15" t="inlineStr">
        <is>
          <t>Autumn break: where?</t>
        </is>
      </c>
      <c r="M66" s="16" t="inlineStr">
        <is>
          <t>إجازة الخريف وين؟</t>
        </is>
      </c>
      <c r="N66" s="14" t="inlineStr"/>
      <c r="O66" s="14" t="inlineStr"/>
      <c r="P66" s="16" t="inlineStr">
        <is>
          <t>إجازة الخريف وين؟ 🍂</t>
        </is>
      </c>
      <c r="Q66" s="14" t="inlineStr">
        <is>
          <t>Autumn break: where?</t>
        </is>
      </c>
      <c r="R66" s="14" t="inlineStr">
        <is>
          <t>اجازة الخريف</t>
        </is>
      </c>
      <c r="S66" s="16" t="inlineStr">
        <is>
          <t>#إجازة_الخريف</t>
        </is>
      </c>
      <c r="T66" s="14" t="inlineStr">
        <is>
          <t>Vote</t>
        </is>
      </c>
      <c r="U66" s="14" t="inlineStr">
        <is>
          <t>Poll: 🇸🇦 داخل المملكة / 🌴 خليجي / ✈️ أبعد / 🏠 البيت وموسم الرياض</t>
        </is>
      </c>
      <c r="V66" s="14" t="inlineStr"/>
      <c r="W66" s="14" t="inlineStr"/>
      <c r="X66" s="14" t="inlineStr">
        <is>
          <t>Scripted</t>
        </is>
      </c>
      <c r="Y66" s="17" t="n"/>
      <c r="Z66" s="17" t="n"/>
      <c r="AA66" s="17" t="n"/>
      <c r="AB66" s="17" t="n"/>
      <c r="AC66" s="17" t="n"/>
      <c r="AD66" s="17" t="n"/>
      <c r="AE66" s="18">
        <f>IF(OR(Y66="",Y66=0),"",(AA66+AB66+AC66+AD66)/Y66)</f>
        <v/>
      </c>
    </row>
    <row r="67">
      <c r="A67" s="23" t="n">
        <v>66</v>
      </c>
      <c r="B67" s="23" t="inlineStr">
        <is>
          <t>17-LI-0930</t>
        </is>
      </c>
      <c r="C67" s="24" t="n">
        <v>46343</v>
      </c>
      <c r="D67" s="23" t="inlineStr">
        <is>
          <t>Tue</t>
        </is>
      </c>
      <c r="E67" s="23" t="inlineStr">
        <is>
          <t>09:30</t>
        </is>
      </c>
      <c r="F67" s="23" t="inlineStr">
        <is>
          <t>LinkedIn</t>
        </is>
      </c>
      <c r="G67" s="14" t="inlineStr">
        <is>
          <t>Document 8 pages</t>
        </is>
      </c>
      <c r="H67" s="14" t="inlineStr">
        <is>
          <t>Events &amp; Business</t>
        </is>
      </c>
      <c r="I67" s="14" t="inlineStr">
        <is>
          <t>B2B</t>
        </is>
      </c>
      <c r="J67" s="14" t="inlineStr">
        <is>
          <t>Field Notes</t>
        </is>
      </c>
      <c r="K67" s="14" t="inlineStr">
        <is>
          <t>Evergreen B2B</t>
        </is>
      </c>
      <c r="L67" s="15" t="inlineStr">
        <is>
          <t>Field Notes #2: why delegates remember logistics, not keynotes</t>
        </is>
      </c>
      <c r="M67" s="14" t="inlineStr">
        <is>
          <t>Page 1: Ask a delegate about your summit a month later. They'll describe the airport.</t>
        </is>
      </c>
      <c r="N67" s="14" t="inlineStr">
        <is>
          <t>Delegates remember the airport</t>
        </is>
      </c>
      <c r="O67" s="14" t="inlineStr"/>
      <c r="P67" s="14" t="inlineStr"/>
      <c r="Q67" s="14" t="inlineStr">
        <is>
          <t>Field Notes #2.
Ask a delegate about your summit a month later. They rarely quote the keynote. They describe the airport, the car, the room and whether anyone knew their name.
That's why we plan events and travel as one plan:
• Arrival waves timed to the agenda
• Hotel check-in waiting at registration
• One WhatsApp line for every guest
• A host team that sees every status live
The event starts at the gate.</t>
        </is>
      </c>
      <c r="R67" s="14" t="inlineStr">
        <is>
          <t>event and travel management, delegate experience, MICE Saudi</t>
        </is>
      </c>
      <c r="S67" s="14" t="inlineStr">
        <is>
          <t>#FieldNotes #EventProfs #MICE #Riyadh</t>
        </is>
      </c>
      <c r="T67" s="14" t="inlineStr">
        <is>
          <t>Comment / share with your events lead</t>
        </is>
      </c>
      <c r="U67" s="14" t="inlineStr">
        <is>
          <t>PDF: a guest journey map across pages (gate → car → hotel → venue → home).</t>
        </is>
      </c>
      <c r="V67" s="14" t="inlineStr"/>
      <c r="W67" s="14" t="inlineStr"/>
      <c r="X67" s="14" t="inlineStr">
        <is>
          <t>Scripted</t>
        </is>
      </c>
      <c r="Y67" s="17" t="n"/>
      <c r="Z67" s="17" t="n"/>
      <c r="AA67" s="17" t="n"/>
      <c r="AB67" s="17" t="n"/>
      <c r="AC67" s="17" t="n"/>
      <c r="AD67" s="17" t="n"/>
      <c r="AE67" s="18">
        <f>IF(OR(Y67="",Y67=0),"",(AA67+AB67+AC67+AD67)/Y67)</f>
        <v/>
      </c>
    </row>
    <row r="68">
      <c r="A68" s="12" t="n">
        <v>67</v>
      </c>
      <c r="B68" s="12" t="inlineStr">
        <is>
          <t>18-IG-2030</t>
        </is>
      </c>
      <c r="C68" s="13" t="n">
        <v>46344</v>
      </c>
      <c r="D68" s="12" t="inlineStr">
        <is>
          <t>Wed</t>
        </is>
      </c>
      <c r="E68" s="12" t="inlineStr">
        <is>
          <t>20:30</t>
        </is>
      </c>
      <c r="F68" s="12" t="inlineStr">
        <is>
          <t>Instagram</t>
        </is>
      </c>
      <c r="G68" s="14" t="inlineStr">
        <is>
          <t>Static 4:5</t>
        </is>
      </c>
      <c r="H68" s="14" t="inlineStr">
        <is>
          <t>Know Before You Go</t>
        </is>
      </c>
      <c r="I68" s="14" t="inlineStr">
        <is>
          <t>Global</t>
        </is>
      </c>
      <c r="J68" s="14" t="inlineStr">
        <is>
          <t>Visa in 60</t>
        </is>
      </c>
      <c r="K68" s="14" t="inlineStr">
        <is>
          <t>Evergreen visa</t>
        </is>
      </c>
      <c r="L68" s="15" t="inlineStr">
        <is>
          <t>Schengen document checklist (save-worthy)</t>
        </is>
      </c>
      <c r="M68" s="14" t="inlineStr">
        <is>
          <t>Save this before your appointment.</t>
        </is>
      </c>
      <c r="N68" s="14" t="inlineStr">
        <is>
          <t>Schengen checklist: 9 documents</t>
        </is>
      </c>
      <c r="O68" s="16" t="inlineStr">
        <is>
          <t>شنغن: ٩ أوراق لا تنساها</t>
        </is>
      </c>
      <c r="P68" s="16" t="inlineStr">
        <is>
          <t>قبل موعد الفيزا: ٩ أوراق لا تنساها 📌
احفظ المنشور وارجع له يوم الموعد.</t>
        </is>
      </c>
      <c r="Q68" s="14" t="inlineStr">
        <is>
          <t>Before your visa appointment: 9 documents not to forget. Save this and come back to it on the day.</t>
        </is>
      </c>
      <c r="R68" s="14" t="inlineStr">
        <is>
          <t>اوراق فيزا شنغن, متطلبات تأشيرة شنغن, Schengen documents</t>
        </is>
      </c>
      <c r="S68" s="16" t="inlineStr">
        <is>
          <t>#تأشيرة_شنغن #فيزا #أوروبا #سفر #مادا</t>
        </is>
      </c>
      <c r="T68" s="14" t="inlineStr">
        <is>
          <t>Save</t>
        </is>
      </c>
      <c r="U68" s="14" t="inlineStr">
        <is>
          <t>Clean checklist poster, 9 lines with tick boxes, AR main + small EN. Designed to be screenshotted.</t>
        </is>
      </c>
      <c r="V68" s="14" t="inlineStr">
        <is>
          <t>Requirements vary by embassy, so keep it general and say 'check your embassy's list'.</t>
        </is>
      </c>
      <c r="W68" s="14" t="inlineStr"/>
      <c r="X68" s="14" t="inlineStr">
        <is>
          <t>Scripted</t>
        </is>
      </c>
      <c r="Y68" s="17" t="n"/>
      <c r="Z68" s="17" t="n"/>
      <c r="AA68" s="17" t="n"/>
      <c r="AB68" s="17" t="n"/>
      <c r="AC68" s="17" t="n"/>
      <c r="AD68" s="17" t="n"/>
      <c r="AE68" s="18">
        <f>IF(OR(Y68="",Y68=0),"",(AA68+AB68+AC68+AD68)/Y68)</f>
        <v/>
      </c>
    </row>
    <row r="69">
      <c r="A69" s="19" t="n">
        <v>68</v>
      </c>
      <c r="B69" s="19" t="inlineStr">
        <is>
          <t>18-TT-2100</t>
        </is>
      </c>
      <c r="C69" s="20" t="n">
        <v>46344</v>
      </c>
      <c r="D69" s="19" t="inlineStr">
        <is>
          <t>Wed</t>
        </is>
      </c>
      <c r="E69" s="19" t="inlineStr">
        <is>
          <t>21:00</t>
        </is>
      </c>
      <c r="F69" s="19" t="inlineStr">
        <is>
          <t>TikTok</t>
        </is>
      </c>
      <c r="G69" s="14" t="inlineStr">
        <is>
          <t>Video 45s</t>
        </is>
      </c>
      <c r="H69" s="14" t="inlineStr">
        <is>
          <t>Know Before You Go</t>
        </is>
      </c>
      <c r="I69" s="14" t="inlineStr">
        <is>
          <t>Global</t>
        </is>
      </c>
      <c r="J69" s="14" t="inlineStr">
        <is>
          <t>Visa in 60</t>
        </is>
      </c>
      <c r="K69" s="14" t="inlineStr">
        <is>
          <t>Evergreen visa</t>
        </is>
      </c>
      <c r="L69" s="15" t="inlineStr">
        <is>
          <t>US visa: book your interview early</t>
        </is>
      </c>
      <c r="M69" s="16" t="inlineStr">
        <is>
          <t>On-screen + VO: مسافر أمريكا ٢٠٢٧؟ احجز موعدك الحين ⏳</t>
        </is>
      </c>
      <c r="N69" s="14" t="inlineStr">
        <is>
          <t>US visa: book the interview now</t>
        </is>
      </c>
      <c r="O69" s="16" t="inlineStr">
        <is>
          <t>فيزا أمريكا: احجز المقابلة الحين</t>
        </is>
      </c>
      <c r="P69" s="16" t="inlineStr">
        <is>
          <t>مسافر أمريكا السنة الجاية؟ ليش لازم تحجز موعد المقابلة من الحين ⏳👇</t>
        </is>
      </c>
      <c r="Q69" s="14" t="inlineStr">
        <is>
          <t>Travelling to the US next year? Why you should book your interview now.</t>
        </is>
      </c>
      <c r="R69" s="14" t="inlineStr">
        <is>
          <t>فيزا امريكا, موعد السفارة الامريكية, US visa Saudi</t>
        </is>
      </c>
      <c r="S69" s="16" t="inlineStr">
        <is>
          <t>#فيزا_أمريكا #أمريكا #تأشيرة #سفر #مادا</t>
        </is>
      </c>
      <c r="T69" s="14" t="inlineStr">
        <is>
          <t>Save</t>
        </is>
      </c>
      <c r="U69" s="14" t="inlineStr">
        <is>
          <t>Concierge explains: most interview waivers ended in Sep 2025, so more people need an in-person interview and wait times vary. A visa integrity fee has applied since Oct 2025 (amount on screen as announced). Book early.</t>
        </is>
      </c>
      <c r="V69" s="14" t="inlineStr">
        <is>
          <t>Verify on the US Embassy Riyadh site; describe the fee as 'announced', with the amount as published.</t>
        </is>
      </c>
      <c r="W69" s="14" t="inlineStr"/>
      <c r="X69" s="14" t="inlineStr">
        <is>
          <t>Scripted</t>
        </is>
      </c>
      <c r="Y69" s="17" t="n"/>
      <c r="Z69" s="17" t="n"/>
      <c r="AA69" s="17" t="n"/>
      <c r="AB69" s="17" t="n"/>
      <c r="AC69" s="17" t="n"/>
      <c r="AD69" s="17" t="n"/>
      <c r="AE69" s="18">
        <f>IF(OR(Y69="",Y69=0),"",(AA69+AB69+AC69+AD69)/Y69)</f>
        <v/>
      </c>
    </row>
    <row r="70">
      <c r="A70" s="21" t="n">
        <v>69</v>
      </c>
      <c r="B70" s="21" t="inlineStr">
        <is>
          <t>18-X-1230</t>
        </is>
      </c>
      <c r="C70" s="22" t="n">
        <v>46344</v>
      </c>
      <c r="D70" s="21" t="inlineStr">
        <is>
          <t>Wed</t>
        </is>
      </c>
      <c r="E70" s="21" t="inlineStr">
        <is>
          <t>12:30</t>
        </is>
      </c>
      <c r="F70" s="21" t="inlineStr">
        <is>
          <t>X</t>
        </is>
      </c>
      <c r="G70" s="14" t="inlineStr">
        <is>
          <t>Post</t>
        </is>
      </c>
      <c r="H70" s="14" t="inlineStr">
        <is>
          <t>One Call</t>
        </is>
      </c>
      <c r="I70" s="14" t="inlineStr">
        <is>
          <t>All</t>
        </is>
      </c>
      <c r="J70" s="14" t="inlineStr"/>
      <c r="K70" s="14" t="inlineStr">
        <is>
          <t>Lufthansa's planned return (18 Nov)</t>
        </is>
      </c>
      <c r="L70" s="15" t="inlineStr">
        <is>
          <t>Routes update (conditional)</t>
        </is>
      </c>
      <c r="M70" s="16" t="inlineStr">
        <is>
          <t>تحديث الرحلات الدولية من الرياض ✈️</t>
        </is>
      </c>
      <c r="N70" s="14" t="inlineStr"/>
      <c r="O70" s="14" t="inlineStr"/>
      <c r="P70" s="16" t="inlineStr">
        <is>
          <t>تحديث: شركات طيران أوروبية تعيد جدولة رحلاتها للرياض هالشهر.
إذا عندك حجز تأثر أو تبي بدائل، فريقنا يتابع التحديثات أول بأول. كلمنا.</t>
        </is>
      </c>
      <c r="Q70" s="14" t="inlineStr">
        <is>
          <t>Update: European airlines are rescheduling their Riyadh services this month. If your booking was affected or you need alternatives, our team tracks updates daily.</t>
        </is>
      </c>
      <c r="R70" s="14" t="inlineStr">
        <is>
          <t>تحديثات الطيران</t>
        </is>
      </c>
      <c r="S70" s="14" t="inlineStr"/>
      <c r="T70" s="14" t="inlineStr">
        <is>
          <t>DM</t>
        </is>
      </c>
      <c r="U70" s="14" t="inlineStr">
        <is>
          <t>Text only, factual.</t>
        </is>
      </c>
      <c r="V70" s="25" t="inlineStr">
        <is>
          <t>SENSITIVITY: only post confirmed facts from the airline itself. Skip if nothing is confirmed.</t>
        </is>
      </c>
      <c r="W70" s="14" t="inlineStr"/>
      <c r="X70" s="14" t="inlineStr">
        <is>
          <t>Scripted</t>
        </is>
      </c>
      <c r="Y70" s="17" t="n"/>
      <c r="Z70" s="17" t="n"/>
      <c r="AA70" s="17" t="n"/>
      <c r="AB70" s="17" t="n"/>
      <c r="AC70" s="17" t="n"/>
      <c r="AD70" s="17" t="n"/>
      <c r="AE70" s="18">
        <f>IF(OR(Y70="",Y70=0),"",(AA70+AB70+AC70+AD70)/Y70)</f>
        <v/>
      </c>
    </row>
    <row r="71">
      <c r="A71" s="12" t="n">
        <v>70</v>
      </c>
      <c r="B71" s="12" t="inlineStr">
        <is>
          <t>19-IG-1930</t>
        </is>
      </c>
      <c r="C71" s="13" t="n">
        <v>46345</v>
      </c>
      <c r="D71" s="12" t="inlineStr">
        <is>
          <t>Thu</t>
        </is>
      </c>
      <c r="E71" s="12" t="inlineStr">
        <is>
          <t>19:30</t>
        </is>
      </c>
      <c r="F71" s="12" t="inlineStr">
        <is>
          <t>Instagram</t>
        </is>
      </c>
      <c r="G71" s="14" t="inlineStr">
        <is>
          <t>Carousel 7</t>
        </is>
      </c>
      <c r="H71" s="14" t="inlineStr">
        <is>
          <t>Saudi &amp; Gulf Horizons</t>
        </is>
      </c>
      <c r="I71" s="14" t="inlineStr">
        <is>
          <t>Mixed</t>
        </is>
      </c>
      <c r="J71" s="14" t="inlineStr">
        <is>
          <t>Weekend Radar</t>
        </is>
      </c>
      <c r="K71" s="14" t="inlineStr">
        <is>
          <t>School break starts 20 Nov</t>
        </is>
      </c>
      <c r="L71" s="15" t="inlineStr">
        <is>
          <t>Weekend Radar #3: break edition</t>
        </is>
      </c>
      <c r="M71" s="14" t="inlineStr">
        <is>
          <t>Slide 1: Weekend Radar · Break edition</t>
        </is>
      </c>
      <c r="N71" s="14" t="inlineStr">
        <is>
          <t>Weekend Radar · Break edition</t>
        </is>
      </c>
      <c r="O71" s="16" t="inlineStr">
        <is>
          <t>رادار الويكند · نسخة الإجازة</t>
        </is>
      </c>
      <c r="P71" s="16" t="inlineStr">
        <is>
          <t>رادار الويكند: نسخة الإجازة 🍂
• موسم الرياض للعائلة: ونستر غاردن وبوليفارد وورلد
• الكشتة: الجو صار مناسب
• مسقط: اليوم الوطني العماني ٢٠ نوفمبر
• لندن: Winter Wonderland يفتح اليوم</t>
        </is>
      </c>
      <c r="Q71" s="14" t="inlineStr">
        <is>
          <t>Weekend Radar, break edition: Riyadh Season for families, desert camping weather is here, Oman National Day in Muscat, and London's Winter Wonderland opens today.</t>
        </is>
      </c>
      <c r="R71" s="14" t="inlineStr">
        <is>
          <t>فعاليات الاجازة, وش نسوي في الاجازة</t>
        </is>
      </c>
      <c r="S71" s="16" t="inlineStr">
        <is>
          <t>#رادار_الويكند #إجازة_الخريف #موسم_الرياض #الرياض #مادا</t>
        </is>
      </c>
      <c r="T71" s="14" t="inlineStr">
        <is>
          <t>Save + share</t>
        </is>
      </c>
      <c r="U71" s="14" t="inlineStr">
        <is>
          <t>Weekend Radar template, autumn tint.</t>
        </is>
      </c>
      <c r="V71" s="14" t="inlineStr"/>
      <c r="W71" s="14" t="inlineStr"/>
      <c r="X71" s="14" t="inlineStr">
        <is>
          <t>Scripted</t>
        </is>
      </c>
      <c r="Y71" s="17" t="n"/>
      <c r="Z71" s="17" t="n"/>
      <c r="AA71" s="17" t="n"/>
      <c r="AB71" s="17" t="n"/>
      <c r="AC71" s="17" t="n"/>
      <c r="AD71" s="17" t="n"/>
      <c r="AE71" s="18">
        <f>IF(OR(Y71="",Y71=0),"",(AA71+AB71+AC71+AD71)/Y71)</f>
        <v/>
      </c>
    </row>
    <row r="72">
      <c r="A72" s="12" t="n">
        <v>71</v>
      </c>
      <c r="B72" s="12" t="inlineStr">
        <is>
          <t>19-IG-2130</t>
        </is>
      </c>
      <c r="C72" s="13" t="n">
        <v>46345</v>
      </c>
      <c r="D72" s="12" t="inlineStr">
        <is>
          <t>Thu</t>
        </is>
      </c>
      <c r="E72" s="12" t="inlineStr">
        <is>
          <t>21:30</t>
        </is>
      </c>
      <c r="F72" s="12" t="inlineStr">
        <is>
          <t>Instagram</t>
        </is>
      </c>
      <c r="G72" s="14" t="inlineStr">
        <is>
          <t>Reel 35s</t>
        </is>
      </c>
      <c r="H72" s="14" t="inlineStr">
        <is>
          <t>World Horizons</t>
        </is>
      </c>
      <c r="I72" s="14" t="inlineStr">
        <is>
          <t>Global</t>
        </is>
      </c>
      <c r="J72" s="14" t="inlineStr">
        <is>
          <t>Europe in Winter</t>
        </is>
      </c>
      <c r="K72" s="14" t="inlineStr">
        <is>
          <t>Winter Wonderland opens 19 Nov</t>
        </is>
      </c>
      <c r="L72" s="15" t="inlineStr">
        <is>
          <t>London in winter: ETA + Winter Wonderland + 4 more</t>
        </is>
      </c>
      <c r="M72" s="14" t="inlineStr">
        <is>
          <t>Text over a London skyline: 'London in winter, done right'</t>
        </is>
      </c>
      <c r="N72" s="14" t="inlineStr">
        <is>
          <t>London in winter · done right</t>
        </is>
      </c>
      <c r="O72" s="16" t="inlineStr">
        <is>
          <t>لندن في الشتاء · صح</t>
        </is>
      </c>
      <c r="P72" s="16" t="inlineStr">
        <is>
          <t>لندن في الشتاء ❄️ Winter Wonderland فتح اليوم.
٦ أشياء نسويها لعملاءنا هناك، وأولها: الـETA قبل الحجز.</t>
        </is>
      </c>
      <c r="Q72" s="14" t="inlineStr">
        <is>
          <t>London in winter. Winter Wonderland opens today. 6 things we arrange for our clients there, starting with the ETA before booking.</t>
        </is>
      </c>
      <c r="R72" s="14" t="inlineStr">
        <is>
          <t>لندن في الشتاء, Winter Wonderland London, سفر لندن</t>
        </is>
      </c>
      <c r="S72" s="16" t="inlineStr">
        <is>
          <t>#لندن #شتاء_أوروبا #بريطانيا #سفر #مادا</t>
        </is>
      </c>
      <c r="T72" s="14" t="inlineStr">
        <is>
          <t>Save</t>
        </is>
      </c>
      <c r="U72" s="14" t="inlineStr">
        <is>
          <t>List reel: ETA, Hyde Park Winter Wonderland, a West End matinee, a halal afternoon tea, a Harrods window walk, day trip to the Cotswolds. Collab with a London-based Saudi creator if possible.</t>
        </is>
      </c>
      <c r="V72" s="14" t="inlineStr">
        <is>
          <t>Collab creator must hold a Mawthooq licence if paid.</t>
        </is>
      </c>
      <c r="W72" s="14" t="inlineStr"/>
      <c r="X72" s="14" t="inlineStr">
        <is>
          <t>Scripted</t>
        </is>
      </c>
      <c r="Y72" s="17" t="n"/>
      <c r="Z72" s="17" t="n"/>
      <c r="AA72" s="17" t="n"/>
      <c r="AB72" s="17" t="n"/>
      <c r="AC72" s="17" t="n"/>
      <c r="AD72" s="17" t="n"/>
      <c r="AE72" s="18">
        <f>IF(OR(Y72="",Y72=0),"",(AA72+AB72+AC72+AD72)/Y72)</f>
        <v/>
      </c>
    </row>
    <row r="73">
      <c r="A73" s="19" t="n">
        <v>72</v>
      </c>
      <c r="B73" s="19" t="inlineStr">
        <is>
          <t>19-TT-2000</t>
        </is>
      </c>
      <c r="C73" s="20" t="n">
        <v>46345</v>
      </c>
      <c r="D73" s="19" t="inlineStr">
        <is>
          <t>Thu</t>
        </is>
      </c>
      <c r="E73" s="19" t="inlineStr">
        <is>
          <t>20:00</t>
        </is>
      </c>
      <c r="F73" s="19" t="inlineStr">
        <is>
          <t>TikTok</t>
        </is>
      </c>
      <c r="G73" s="14" t="inlineStr">
        <is>
          <t>Video 15s</t>
        </is>
      </c>
      <c r="H73" s="14" t="inlineStr">
        <is>
          <t>Moments &amp; Offers</t>
        </is>
      </c>
      <c r="I73" s="14" t="inlineStr">
        <is>
          <t>All</t>
        </is>
      </c>
      <c r="J73" s="14" t="inlineStr"/>
      <c r="K73" s="14" t="inlineStr">
        <is>
          <t>Last school/work day before the break</t>
        </is>
      </c>
      <c r="L73" s="15" t="inlineStr">
        <is>
          <t>Last workday before the break</t>
        </is>
      </c>
      <c r="M73" s="16" t="inlineStr">
        <is>
          <t>On-screen: آخر يوم دوام قبل الإجازة 😮‍💨</t>
        </is>
      </c>
      <c r="N73" s="14" t="inlineStr">
        <is>
          <t>Last day before the break</t>
        </is>
      </c>
      <c r="O73" s="16" t="inlineStr">
        <is>
          <t>آخر يوم قبل الإجازة</t>
        </is>
      </c>
      <c r="P73" s="16" t="inlineStr">
        <is>
          <t>آخر يوم دوام قبل الإجازة… الكل كذا؟ 😂</t>
        </is>
      </c>
      <c r="Q73" s="14" t="inlineStr">
        <is>
          <t>Last workday before the break. Is everyone like this?</t>
        </is>
      </c>
      <c r="R73" s="14" t="inlineStr">
        <is>
          <t>اجازة الخريف</t>
        </is>
      </c>
      <c r="S73" s="16" t="inlineStr">
        <is>
          <t>#إجازة_الخريف #دوام #السعودية #ترند #مادا</t>
        </is>
      </c>
      <c r="T73" s="14" t="inlineStr">
        <is>
          <t>Tag a colleague</t>
        </is>
      </c>
      <c r="U73" s="14" t="inlineStr">
        <is>
          <t>Team meme on a trending sound: the clock at 13:59, then the whole team 'teleporting' out with suitcases. Relatable and real (TikTok Next 2026: 'Reali-TEA').</t>
        </is>
      </c>
      <c r="V73" s="14" t="inlineStr">
        <is>
          <t>Keep it light. No mocking anyone (GAMR rules).</t>
        </is>
      </c>
      <c r="W73" s="14" t="inlineStr"/>
      <c r="X73" s="14" t="inlineStr">
        <is>
          <t>Scripted</t>
        </is>
      </c>
      <c r="Y73" s="17" t="n"/>
      <c r="Z73" s="17" t="n"/>
      <c r="AA73" s="17" t="n"/>
      <c r="AB73" s="17" t="n"/>
      <c r="AC73" s="17" t="n"/>
      <c r="AD73" s="17" t="n"/>
      <c r="AE73" s="18">
        <f>IF(OR(Y73="",Y73=0),"",(AA73+AB73+AC73+AD73)/Y73)</f>
        <v/>
      </c>
    </row>
    <row r="74">
      <c r="A74" s="19" t="n">
        <v>73</v>
      </c>
      <c r="B74" s="19" t="inlineStr">
        <is>
          <t>19-TT-2200</t>
        </is>
      </c>
      <c r="C74" s="20" t="n">
        <v>46345</v>
      </c>
      <c r="D74" s="19" t="inlineStr">
        <is>
          <t>Thu</t>
        </is>
      </c>
      <c r="E74" s="19" t="inlineStr">
        <is>
          <t>22:00</t>
        </is>
      </c>
      <c r="F74" s="19" t="inlineStr">
        <is>
          <t>TikTok</t>
        </is>
      </c>
      <c r="G74" s="14" t="inlineStr">
        <is>
          <t>Photo carousel 7</t>
        </is>
      </c>
      <c r="H74" s="14" t="inlineStr">
        <is>
          <t>Know Before You Go</t>
        </is>
      </c>
      <c r="I74" s="14" t="inlineStr">
        <is>
          <t>All</t>
        </is>
      </c>
      <c r="J74" s="14" t="inlineStr"/>
      <c r="K74" s="14" t="inlineStr">
        <is>
          <t>Break departures</t>
        </is>
      </c>
      <c r="L74" s="15" t="inlineStr">
        <is>
          <t>Airport-day checklist</t>
        </is>
      </c>
      <c r="M74" s="16" t="inlineStr">
        <is>
          <t>Slide 1: مسافر بكرة؟ سوّ هذا الليلة ✅</t>
        </is>
      </c>
      <c r="N74" s="14" t="inlineStr">
        <is>
          <t>Flying tomorrow? Do this tonight</t>
        </is>
      </c>
      <c r="O74" s="16" t="inlineStr">
        <is>
          <t>مسافر بكرة؟ سوّ هذا الليلة</t>
        </is>
      </c>
      <c r="P74" s="16" t="inlineStr">
        <is>
          <t>مسافر بكرة؟ ٧ أشياء سوّها الليلة ✅</t>
        </is>
      </c>
      <c r="Q74" s="14" t="inlineStr">
        <is>
          <t>Flying tomorrow? 7 things to do tonight.</t>
        </is>
      </c>
      <c r="R74" s="14" t="inlineStr">
        <is>
          <t>قائمة السفر, نصائح المطار</t>
        </is>
      </c>
      <c r="S74" s="16" t="inlineStr">
        <is>
          <t>#نصائح_سفر #إجازة_الخريف #سفر #مطار #مادا</t>
        </is>
      </c>
      <c r="T74" s="14" t="inlineStr">
        <is>
          <t>Save</t>
        </is>
      </c>
      <c r="U74" s="14" t="inlineStr">
        <is>
          <t>Checklist: online check-in, passport validity (6 months), ETA/visa copies, chargers, a pen for forms, arrival transfer confirmed, airline app notifications on.</t>
        </is>
      </c>
      <c r="V74" s="14" t="inlineStr"/>
      <c r="W74" s="14" t="inlineStr"/>
      <c r="X74" s="14" t="inlineStr">
        <is>
          <t>Scripted</t>
        </is>
      </c>
      <c r="Y74" s="17" t="n"/>
      <c r="Z74" s="17" t="n"/>
      <c r="AA74" s="17" t="n"/>
      <c r="AB74" s="17" t="n"/>
      <c r="AC74" s="17" t="n"/>
      <c r="AD74" s="17" t="n"/>
      <c r="AE74" s="18">
        <f>IF(OR(Y74="",Y74=0),"",(AA74+AB74+AC74+AD74)/Y74)</f>
        <v/>
      </c>
    </row>
    <row r="75">
      <c r="A75" s="21" t="n">
        <v>74</v>
      </c>
      <c r="B75" s="21" t="inlineStr">
        <is>
          <t>19-X-1300</t>
        </is>
      </c>
      <c r="C75" s="22" t="n">
        <v>46345</v>
      </c>
      <c r="D75" s="21" t="inlineStr">
        <is>
          <t>Thu</t>
        </is>
      </c>
      <c r="E75" s="21" t="inlineStr">
        <is>
          <t>13:00</t>
        </is>
      </c>
      <c r="F75" s="21" t="inlineStr">
        <is>
          <t>X</t>
        </is>
      </c>
      <c r="G75" s="14" t="inlineStr">
        <is>
          <t>Post</t>
        </is>
      </c>
      <c r="H75" s="14" t="inlineStr">
        <is>
          <t>One Call</t>
        </is>
      </c>
      <c r="I75" s="14" t="inlineStr">
        <is>
          <t>Saudi</t>
        </is>
      </c>
      <c r="J75" s="14" t="inlineStr"/>
      <c r="K75" s="14" t="inlineStr">
        <is>
          <t>Break</t>
        </is>
      </c>
      <c r="L75" s="15" t="inlineStr">
        <is>
          <t>Last-minute break trips</t>
        </is>
      </c>
      <c r="M75" s="16" t="inlineStr">
        <is>
          <t>ما حجزت للإجازة؟ لسه فيه وقت.</t>
        </is>
      </c>
      <c r="N75" s="14" t="inlineStr"/>
      <c r="O75" s="14" t="inlineStr"/>
      <c r="P75" s="16" t="inlineStr">
        <is>
          <t>ما حجزت للإجازة؟ لسه فيه وقت ⏳
عندنا خيارات داخلية وقريبة للويكند هذا. أرسل «إجازة» على الواتساب ونرد عليك خلال ساعة.</t>
        </is>
      </c>
      <c r="Q75" s="14" t="inlineStr">
        <is>
          <t>Haven't booked for the break? There's still time. We have domestic and nearby options for this weekend. Send 'break' on WhatsApp and we'll reply within the hour.</t>
        </is>
      </c>
      <c r="R75" s="14" t="inlineStr">
        <is>
          <t>رحلات اللحظة الاخيرة</t>
        </is>
      </c>
      <c r="S75" s="16" t="inlineStr">
        <is>
          <t>#إجازة_الخريف</t>
        </is>
      </c>
      <c r="T75" s="14" t="inlineStr">
        <is>
          <t>WhatsApp</t>
        </is>
      </c>
      <c r="U75" s="14" t="inlineStr">
        <is>
          <t>Text only.</t>
        </is>
      </c>
      <c r="V75" s="14" t="inlineStr">
        <is>
          <t>Ops must confirm real availability before posting.</t>
        </is>
      </c>
      <c r="W75" s="14" t="inlineStr"/>
      <c r="X75" s="14" t="inlineStr">
        <is>
          <t>Scripted</t>
        </is>
      </c>
      <c r="Y75" s="17" t="n"/>
      <c r="Z75" s="17" t="n"/>
      <c r="AA75" s="17" t="n"/>
      <c r="AB75" s="17" t="n"/>
      <c r="AC75" s="17" t="n"/>
      <c r="AD75" s="17" t="n"/>
      <c r="AE75" s="18">
        <f>IF(OR(Y75="",Y75=0),"",(AA75+AB75+AC75+AD75)/Y75)</f>
        <v/>
      </c>
    </row>
    <row r="76">
      <c r="A76" s="23" t="n">
        <v>75</v>
      </c>
      <c r="B76" s="23" t="inlineStr">
        <is>
          <t>19-LI-0930</t>
        </is>
      </c>
      <c r="C76" s="24" t="n">
        <v>46345</v>
      </c>
      <c r="D76" s="23" t="inlineStr">
        <is>
          <t>Thu</t>
        </is>
      </c>
      <c r="E76" s="23" t="inlineStr">
        <is>
          <t>09:30</t>
        </is>
      </c>
      <c r="F76" s="23" t="inlineStr">
        <is>
          <t>LinkedIn</t>
        </is>
      </c>
      <c r="G76" s="14" t="inlineStr">
        <is>
          <t>Image + post</t>
        </is>
      </c>
      <c r="H76" s="14" t="inlineStr">
        <is>
          <t>One Call</t>
        </is>
      </c>
      <c r="I76" s="14" t="inlineStr">
        <is>
          <t>All</t>
        </is>
      </c>
      <c r="J76" s="14" t="inlineStr">
        <is>
          <t>Horizon Keepers</t>
        </is>
      </c>
      <c r="K76" s="14" t="inlineStr">
        <is>
          <t>Employer brand</t>
        </is>
      </c>
      <c r="L76" s="15" t="inlineStr">
        <is>
          <t>Horizon Keepers #1: meet our visa desk</t>
        </is>
      </c>
      <c r="M76" s="14" t="inlineStr">
        <is>
          <t>She has read more embassy checklists than anyone we know.</t>
        </is>
      </c>
      <c r="N76" s="14" t="inlineStr">
        <is>
          <t>Horizon Keepers · The visa desk</t>
        </is>
      </c>
      <c r="O76" s="14" t="inlineStr"/>
      <c r="P76" s="14" t="inlineStr"/>
      <c r="Q76" s="14" t="inlineStr">
        <is>
          <t>Horizon Keepers #1: the visa desk.
She has read more embassy checklists than anyone we know. Her rule: 'Nobody should find out at the counter that a document is missing.'
What the visa desk handles each week:
• Schengen, UK ETA, US and Asia applications
• Business visit visas for inbound delegates
• Appointment hunting during peak season
The people behind the plan are the plan.</t>
        </is>
      </c>
      <c r="R76" s="14" t="inlineStr">
        <is>
          <t>visa services Riyadh, business visa Saudi</t>
        </is>
      </c>
      <c r="S76" s="14" t="inlineStr">
        <is>
          <t>#HorizonKeepers #TeamMada #Riyadh</t>
        </is>
      </c>
      <c r="T76" s="14" t="inlineStr">
        <is>
          <t>Follow</t>
        </is>
      </c>
      <c r="U76" s="14" t="inlineStr">
        <is>
          <t>A natural portrait at her desk (with consent), a quote overlay.</t>
        </is>
      </c>
      <c r="V76" s="14" t="inlineStr">
        <is>
          <t>Consent from the team member. Use her first name if she's happy to.</t>
        </is>
      </c>
      <c r="W76" s="14" t="inlineStr"/>
      <c r="X76" s="14" t="inlineStr">
        <is>
          <t>Scripted</t>
        </is>
      </c>
      <c r="Y76" s="17" t="n"/>
      <c r="Z76" s="17" t="n"/>
      <c r="AA76" s="17" t="n"/>
      <c r="AB76" s="17" t="n"/>
      <c r="AC76" s="17" t="n"/>
      <c r="AD76" s="17" t="n"/>
      <c r="AE76" s="18">
        <f>IF(OR(Y76="",Y76=0),"",(AA76+AB76+AC76+AD76)/Y76)</f>
        <v/>
      </c>
    </row>
    <row r="77">
      <c r="A77" s="12" t="n">
        <v>76</v>
      </c>
      <c r="B77" s="12" t="inlineStr">
        <is>
          <t>20-IG-2030</t>
        </is>
      </c>
      <c r="C77" s="13" t="n">
        <v>46346</v>
      </c>
      <c r="D77" s="12" t="inlineStr">
        <is>
          <t>Fri</t>
        </is>
      </c>
      <c r="E77" s="12" t="inlineStr">
        <is>
          <t>20:30</t>
        </is>
      </c>
      <c r="F77" s="12" t="inlineStr">
        <is>
          <t>Instagram</t>
        </is>
      </c>
      <c r="G77" s="14" t="inlineStr">
        <is>
          <t>Reel 25s</t>
        </is>
      </c>
      <c r="H77" s="14" t="inlineStr">
        <is>
          <t>Moments &amp; Offers</t>
        </is>
      </c>
      <c r="I77" s="14" t="inlineStr">
        <is>
          <t>All</t>
        </is>
      </c>
      <c r="J77" s="14" t="inlineStr"/>
      <c r="K77" s="14" t="inlineStr">
        <is>
          <t>Autumn break starts 20 Nov</t>
        </is>
      </c>
      <c r="L77" s="15" t="inlineStr">
        <is>
          <t>Break mode: ON</t>
        </is>
      </c>
      <c r="M77" s="14" t="inlineStr">
        <is>
          <t>A suitcase zips shut on the beat</t>
        </is>
      </c>
      <c r="N77" s="14" t="inlineStr">
        <is>
          <t>Break mode: ON</t>
        </is>
      </c>
      <c r="O77" s="16" t="inlineStr">
        <is>
          <t>وضع الإجازة: تشغيل</t>
        </is>
      </c>
      <c r="P77" s="16" t="inlineStr">
        <is>
          <t>وضع الإجازة: تشغيل 🍂✈️
وين أول محطة لكم؟ شاركونا بقصصكم ومنشنوا @madatrips</t>
        </is>
      </c>
      <c r="Q77" s="14" t="inlineStr">
        <is>
          <t>Break mode on. Where's your first stop? Share your stories and tag @madatrips.</t>
        </is>
      </c>
      <c r="R77" s="14" t="inlineStr">
        <is>
          <t>اجازة الخريف, سفر</t>
        </is>
      </c>
      <c r="S77" s="16" t="inlineStr">
        <is>
          <t>#إجازة_الخريف #سفر #مادا #MadaTrips #السعودية</t>
        </is>
      </c>
      <c r="T77" s="14" t="inlineStr">
        <is>
          <t>Tag us in your stories (UGC)</t>
        </is>
      </c>
      <c r="U77" s="14" t="inlineStr">
        <is>
          <t>Fast montage, beat-synced: zips, passports, car doors, boarding, a hotel door, the first view. Clients' footage only with written consent. No kids' faces.</t>
        </is>
      </c>
      <c r="V77" s="14" t="inlineStr"/>
      <c r="W77" s="14" t="inlineStr"/>
      <c r="X77" s="14" t="inlineStr">
        <is>
          <t>Scripted</t>
        </is>
      </c>
      <c r="Y77" s="17" t="n"/>
      <c r="Z77" s="17" t="n"/>
      <c r="AA77" s="17" t="n"/>
      <c r="AB77" s="17" t="n"/>
      <c r="AC77" s="17" t="n"/>
      <c r="AD77" s="17" t="n"/>
      <c r="AE77" s="18">
        <f>IF(OR(Y77="",Y77=0),"",(AA77+AB77+AC77+AD77)/Y77)</f>
        <v/>
      </c>
    </row>
    <row r="78">
      <c r="A78" s="19" t="n">
        <v>77</v>
      </c>
      <c r="B78" s="19" t="inlineStr">
        <is>
          <t>20-TT-2100</t>
        </is>
      </c>
      <c r="C78" s="20" t="n">
        <v>46346</v>
      </c>
      <c r="D78" s="19" t="inlineStr">
        <is>
          <t>Fri</t>
        </is>
      </c>
      <c r="E78" s="19" t="inlineStr">
        <is>
          <t>21:00</t>
        </is>
      </c>
      <c r="F78" s="19" t="inlineStr">
        <is>
          <t>TikTok</t>
        </is>
      </c>
      <c r="G78" s="14" t="inlineStr">
        <is>
          <t>Video 45s</t>
        </is>
      </c>
      <c r="H78" s="14" t="inlineStr">
        <is>
          <t>Saudi &amp; Gulf Horizons</t>
        </is>
      </c>
      <c r="I78" s="14" t="inlineStr">
        <is>
          <t>GCC</t>
        </is>
      </c>
      <c r="J78" s="14" t="inlineStr"/>
      <c r="K78" s="14" t="inlineStr">
        <is>
          <t>Oman National Day (20 Nov) · break</t>
        </is>
      </c>
      <c r="L78" s="15" t="inlineStr">
        <is>
          <t>Muscat in 48 hours</t>
        </is>
      </c>
      <c r="M78" s="16" t="inlineStr">
        <is>
          <t>On-screen: ساعتين طيران من الرياض… وهذا اللي ينتظرك 🇴🇲</t>
        </is>
      </c>
      <c r="N78" s="14" t="inlineStr">
        <is>
          <t>Muscat in 48 hours</t>
        </is>
      </c>
      <c r="O78" s="16" t="inlineStr">
        <is>
          <t>مسقط في ٤٨ ساعة</t>
        </is>
      </c>
      <c r="P78" s="16" t="inlineStr">
        <is>
          <t>اليوم الوطني العماني 🇴🇲 ومسقط قريبة… هذا برنامج ٤٨ ساعة 👇</t>
        </is>
      </c>
      <c r="Q78" s="14" t="inlineStr">
        <is>
          <t>Oman National Day, and Muscat is close. Here's a 48-hour plan.</t>
        </is>
      </c>
      <c r="R78" s="14" t="inlineStr">
        <is>
          <t>مسقط سياحة, برنامج مسقط يومين, Muscat 48 hours</t>
        </is>
      </c>
      <c r="S78" s="16" t="inlineStr">
        <is>
          <t>#مسقط #عمان #إجازة_الخريف #سفر #مادا</t>
        </is>
      </c>
      <c r="T78" s="14" t="inlineStr">
        <is>
          <t>Comment 'مسقط' for the plan</t>
        </is>
      </c>
      <c r="U78" s="14" t="inlineStr">
        <is>
          <t>Itinerary chapters: Muttrah Corniche at sunset, the Grand Mosque in the morning, a boat trip, the souq. Respectful, warm wishes to Oman.</t>
        </is>
      </c>
      <c r="V78" s="14" t="inlineStr">
        <is>
          <t>Check the National Day holiday date with Omani sources. Use respectful wording.</t>
        </is>
      </c>
      <c r="W78" s="14" t="inlineStr"/>
      <c r="X78" s="14" t="inlineStr">
        <is>
          <t>Scripted</t>
        </is>
      </c>
      <c r="Y78" s="17" t="n"/>
      <c r="Z78" s="17" t="n"/>
      <c r="AA78" s="17" t="n"/>
      <c r="AB78" s="17" t="n"/>
      <c r="AC78" s="17" t="n"/>
      <c r="AD78" s="17" t="n"/>
      <c r="AE78" s="18">
        <f>IF(OR(Y78="",Y78=0),"",(AA78+AB78+AC78+AD78)/Y78)</f>
        <v/>
      </c>
    </row>
    <row r="79">
      <c r="A79" s="21" t="n">
        <v>78</v>
      </c>
      <c r="B79" s="21" t="inlineStr">
        <is>
          <t>20-X-1700</t>
        </is>
      </c>
      <c r="C79" s="22" t="n">
        <v>46346</v>
      </c>
      <c r="D79" s="21" t="inlineStr">
        <is>
          <t>Fri</t>
        </is>
      </c>
      <c r="E79" s="21" t="inlineStr">
        <is>
          <t>17:00</t>
        </is>
      </c>
      <c r="F79" s="21" t="inlineStr">
        <is>
          <t>X</t>
        </is>
      </c>
      <c r="G79" s="14" t="inlineStr">
        <is>
          <t>Post</t>
        </is>
      </c>
      <c r="H79" s="14" t="inlineStr">
        <is>
          <t>One Call</t>
        </is>
      </c>
      <c r="I79" s="14" t="inlineStr">
        <is>
          <t>All</t>
        </is>
      </c>
      <c r="J79" s="14" t="inlineStr"/>
      <c r="K79" s="14" t="inlineStr">
        <is>
          <t>Break departures</t>
        </is>
      </c>
      <c r="L79" s="15" t="inlineStr">
        <is>
          <t>Safe travels + 24/7 line</t>
        </is>
      </c>
      <c r="M79" s="16" t="inlineStr">
        <is>
          <t>مسافر اليوم؟ الله يحفظك.</t>
        </is>
      </c>
      <c r="N79" s="14" t="inlineStr"/>
      <c r="O79" s="14" t="inlineStr"/>
      <c r="P79" s="16" t="inlineStr">
        <is>
          <t>مسافر اليوم؟ الله يحفظك وترجع بالسلامة 🤍
أي طارئ بالطريق، واتساب مادا شغال ٢٤/٧: ‎+966 56 668 2662</t>
        </is>
      </c>
      <c r="Q79" s="14" t="inlineStr">
        <is>
          <t>Travelling today? Safe travels. For anything on the way, Mada's WhatsApp is open 24/7.</t>
        </is>
      </c>
      <c r="R79" s="14" t="inlineStr"/>
      <c r="S79" s="16" t="inlineStr">
        <is>
          <t>#إجازة_الخريف</t>
        </is>
      </c>
      <c r="T79" s="14" t="inlineStr">
        <is>
          <t>Save the number</t>
        </is>
      </c>
      <c r="U79" s="14" t="inlineStr">
        <is>
          <t>Text only.</t>
        </is>
      </c>
      <c r="V79" s="14" t="inlineStr">
        <is>
          <t>After Friday prayer.</t>
        </is>
      </c>
      <c r="W79" s="14" t="inlineStr"/>
      <c r="X79" s="14" t="inlineStr">
        <is>
          <t>Scripted</t>
        </is>
      </c>
      <c r="Y79" s="17" t="n"/>
      <c r="Z79" s="17" t="n"/>
      <c r="AA79" s="17" t="n"/>
      <c r="AB79" s="17" t="n"/>
      <c r="AC79" s="17" t="n"/>
      <c r="AD79" s="17" t="n"/>
      <c r="AE79" s="18">
        <f>IF(OR(Y79="",Y79=0),"",(AA79+AB79+AC79+AD79)/Y79)</f>
        <v/>
      </c>
    </row>
    <row r="80">
      <c r="A80" s="12" t="n">
        <v>79</v>
      </c>
      <c r="B80" s="12" t="inlineStr">
        <is>
          <t>21-IG-2000</t>
        </is>
      </c>
      <c r="C80" s="13" t="n">
        <v>46347</v>
      </c>
      <c r="D80" s="12" t="inlineStr">
        <is>
          <t>Sat</t>
        </is>
      </c>
      <c r="E80" s="12" t="inlineStr">
        <is>
          <t>20:00</t>
        </is>
      </c>
      <c r="F80" s="12" t="inlineStr">
        <is>
          <t>Instagram</t>
        </is>
      </c>
      <c r="G80" s="14" t="inlineStr">
        <is>
          <t>Carousel 8</t>
        </is>
      </c>
      <c r="H80" s="14" t="inlineStr">
        <is>
          <t>Saudi &amp; Gulf Horizons</t>
        </is>
      </c>
      <c r="I80" s="14" t="inlineStr">
        <is>
          <t>Saudi</t>
        </is>
      </c>
      <c r="J80" s="14" t="inlineStr"/>
      <c r="K80" s="14" t="inlineStr">
        <is>
          <t>Desert camping season · break weekend</t>
        </is>
      </c>
      <c r="L80" s="15" t="inlineStr">
        <is>
          <t>Kashta season: the desert camp checklist</t>
        </is>
      </c>
      <c r="M80" s="14" t="inlineStr">
        <is>
          <t>Slide 1: Kashta season is open. Here's the checklist we swear by.</t>
        </is>
      </c>
      <c r="N80" s="14" t="inlineStr">
        <is>
          <t>Kashta season · the checklist</t>
        </is>
      </c>
      <c r="O80" s="16" t="inlineStr">
        <is>
          <t>موسم الكشتة · القائمة الكاملة</t>
        </is>
      </c>
      <c r="P80" s="16" t="inlineStr">
        <is>
          <t>موسم الكشتة فتح 🔥🏜️
القائمة اللي نمشي عليها: من الحطب لين الكشاف، ونصايح الأمان اللي محد يقولها.
احفظها لأول كشتة.</t>
        </is>
      </c>
      <c r="Q80" s="14" t="inlineStr">
        <is>
          <t>Kashta (desert camping) season is open. Our checklist from firewood to headlamps, plus the safety tips nobody tells you. Save it for your first camp.</t>
        </is>
      </c>
      <c r="R80" s="14" t="inlineStr">
        <is>
          <t>كشتة, قائمة الكشتة, مخيمات الرياض, desert camping Riyadh</t>
        </is>
      </c>
      <c r="S80" s="16" t="inlineStr">
        <is>
          <t>#كشتة #موسم_الكشتة #الرياض #البر #مادا</t>
        </is>
      </c>
      <c r="T80" s="14" t="inlineStr">
        <is>
          <t>Save + tag your kashta crew</t>
        </is>
      </c>
      <c r="U80" s="14" t="inlineStr">
        <is>
          <t>Photo-led slides: the setup, gear flat-lay, coffee corner, fire. Safety slide: tell someone your location, carry water and a spare tyre, check the weather, take your rubbish home.</t>
        </is>
      </c>
      <c r="V80" s="14" t="inlineStr"/>
      <c r="W80" s="14" t="inlineStr"/>
      <c r="X80" s="14" t="inlineStr">
        <is>
          <t>Scripted</t>
        </is>
      </c>
      <c r="Y80" s="17" t="n"/>
      <c r="Z80" s="17" t="n"/>
      <c r="AA80" s="17" t="n"/>
      <c r="AB80" s="17" t="n"/>
      <c r="AC80" s="17" t="n"/>
      <c r="AD80" s="17" t="n"/>
      <c r="AE80" s="18">
        <f>IF(OR(Y80="",Y80=0),"",(AA80+AB80+AC80+AD80)/Y80)</f>
        <v/>
      </c>
    </row>
    <row r="81">
      <c r="A81" s="19" t="n">
        <v>80</v>
      </c>
      <c r="B81" s="19" t="inlineStr">
        <is>
          <t>21-TT-2100</t>
        </is>
      </c>
      <c r="C81" s="20" t="n">
        <v>46347</v>
      </c>
      <c r="D81" s="19" t="inlineStr">
        <is>
          <t>Sat</t>
        </is>
      </c>
      <c r="E81" s="19" t="inlineStr">
        <is>
          <t>21:00</t>
        </is>
      </c>
      <c r="F81" s="19" t="inlineStr">
        <is>
          <t>TikTok</t>
        </is>
      </c>
      <c r="G81" s="14" t="inlineStr">
        <is>
          <t>Video 45s</t>
        </is>
      </c>
      <c r="H81" s="14" t="inlineStr">
        <is>
          <t>World Horizons</t>
        </is>
      </c>
      <c r="I81" s="14" t="inlineStr">
        <is>
          <t>Global</t>
        </is>
      </c>
      <c r="J81" s="14" t="inlineStr">
        <is>
          <t>Winter Escapes</t>
        </is>
      </c>
      <c r="K81" s="14" t="inlineStr">
        <is>
          <t>Val Thorens opens 21 Nov</t>
        </is>
      </c>
      <c r="L81" s="15" t="inlineStr">
        <is>
          <t>Ski season opens: Alps vs Gudauri vs Uludağ</t>
        </is>
      </c>
      <c r="M81" s="16" t="inlineStr">
        <is>
          <t>On-screen: موسم التزلج فتح اليوم ⛷️ وين تروح؟</t>
        </is>
      </c>
      <c r="N81" s="14" t="inlineStr">
        <is>
          <t>Ski season: 3 options from Riyadh</t>
        </is>
      </c>
      <c r="O81" s="16" t="inlineStr">
        <is>
          <t>موسم التزلج: ٣ خيارات من الرياض</t>
        </is>
      </c>
      <c r="P81" s="16" t="inlineStr">
        <is>
          <t>موسم التزلج فتح اليوم في الألب ⛷️ بس عندك ٣ خيارات من الرياض حسب ميزانيتك 👇 أي واحد يناسبك؟</t>
        </is>
      </c>
      <c r="Q81" s="14" t="inlineStr">
        <is>
          <t>Ski season opened today in the Alps. You have 3 options from Riyadh depending on your budget. Which suits you?</t>
        </is>
      </c>
      <c r="R81" s="14" t="inlineStr">
        <is>
          <t>التزلج في سويسرا, جورجيا ثلج, اولوداغ تركيا, ski holiday from Saudi</t>
        </is>
      </c>
      <c r="S81" s="16" t="inlineStr">
        <is>
          <t>#تزلج #ثلوج #جورجيا #سويسرا #مادا</t>
        </is>
      </c>
      <c r="T81" s="14" t="inlineStr">
        <is>
          <t>Comment your pick</t>
        </is>
      </c>
      <c r="U81" s="14" t="inlineStr">
        <is>
          <t>Tier format: (1) The Alps: Val Thorens open now, Courchevel/Zell am See from early Dec (Schengen) (2) Gudauri, Georgia: ~3.5h, visa-free, opens ~late Dec (3) Uludağ, Türkiye: ~4h, visa-free, near Bursa. Beginner tips on screen.</t>
        </is>
      </c>
      <c r="V81" s="14" t="inlineStr">
        <is>
          <t>Gudauri opening date is approximate. Say 'usually late December'.</t>
        </is>
      </c>
      <c r="W81" s="14" t="inlineStr"/>
      <c r="X81" s="14" t="inlineStr">
        <is>
          <t>Scripted</t>
        </is>
      </c>
      <c r="Y81" s="17" t="n"/>
      <c r="Z81" s="17" t="n"/>
      <c r="AA81" s="17" t="n"/>
      <c r="AB81" s="17" t="n"/>
      <c r="AC81" s="17" t="n"/>
      <c r="AD81" s="17" t="n"/>
      <c r="AE81" s="18">
        <f>IF(OR(Y81="",Y81=0),"",(AA81+AB81+AC81+AD81)/Y81)</f>
        <v/>
      </c>
    </row>
    <row r="82">
      <c r="A82" s="21" t="n">
        <v>81</v>
      </c>
      <c r="B82" s="21" t="inlineStr">
        <is>
          <t>21-X-1630</t>
        </is>
      </c>
      <c r="C82" s="22" t="n">
        <v>46347</v>
      </c>
      <c r="D82" s="21" t="inlineStr">
        <is>
          <t>Sat</t>
        </is>
      </c>
      <c r="E82" s="21" t="inlineStr">
        <is>
          <t>16:30</t>
        </is>
      </c>
      <c r="F82" s="21" t="inlineStr">
        <is>
          <t>X</t>
        </is>
      </c>
      <c r="G82" s="14" t="inlineStr">
        <is>
          <t>Poll</t>
        </is>
      </c>
      <c r="H82" s="14" t="inlineStr">
        <is>
          <t>World Horizons</t>
        </is>
      </c>
      <c r="I82" s="14" t="inlineStr">
        <is>
          <t>Global</t>
        </is>
      </c>
      <c r="J82" s="14" t="inlineStr">
        <is>
          <t>Winter Escapes</t>
        </is>
      </c>
      <c r="K82" s="14" t="inlineStr">
        <is>
          <t>Winter-sun high season (Nov-Apr)</t>
        </is>
      </c>
      <c r="L82" s="15" t="inlineStr">
        <is>
          <t>Winter sun: which one?</t>
        </is>
      </c>
      <c r="M82" s="16" t="inlineStr">
        <is>
          <t>شمس الشتاء: وين؟</t>
        </is>
      </c>
      <c r="N82" s="14" t="inlineStr"/>
      <c r="O82" s="14" t="inlineStr"/>
      <c r="P82" s="16" t="inlineStr">
        <is>
          <t>إجازة منتصف العام، وتبي شمس ☀️ وين؟</t>
        </is>
      </c>
      <c r="Q82" s="14" t="inlineStr">
        <is>
          <t>Mid-year break and you want sun. Where?</t>
        </is>
      </c>
      <c r="R82" s="14" t="inlineStr">
        <is>
          <t>المالديف, بوكيت, لنكاوي</t>
        </is>
      </c>
      <c r="S82" s="16" t="inlineStr">
        <is>
          <t>#سفر_الشتاء</t>
        </is>
      </c>
      <c r="T82" s="14" t="inlineStr">
        <is>
          <t>Vote</t>
        </is>
      </c>
      <c r="U82" s="14" t="inlineStr">
        <is>
          <t>Poll: 🏝️ المالديف / 🌴 بوكيت / 🌺 لنكاوي / 🇪🇬 الغردقة</t>
        </is>
      </c>
      <c r="V82" s="14" t="inlineStr"/>
      <c r="W82" s="14" t="inlineStr"/>
      <c r="X82" s="14" t="inlineStr">
        <is>
          <t>Scripted</t>
        </is>
      </c>
      <c r="Y82" s="17" t="n"/>
      <c r="Z82" s="17" t="n"/>
      <c r="AA82" s="17" t="n"/>
      <c r="AB82" s="17" t="n"/>
      <c r="AC82" s="17" t="n"/>
      <c r="AD82" s="17" t="n"/>
      <c r="AE82" s="18">
        <f>IF(OR(Y82="",Y82=0),"",(AA82+AB82+AC82+AD82)/Y82)</f>
        <v/>
      </c>
    </row>
    <row r="83">
      <c r="A83" s="12" t="n">
        <v>82</v>
      </c>
      <c r="B83" s="12" t="inlineStr">
        <is>
          <t>22-IG-2030</t>
        </is>
      </c>
      <c r="C83" s="13" t="n">
        <v>46348</v>
      </c>
      <c r="D83" s="12" t="inlineStr">
        <is>
          <t>Sun</t>
        </is>
      </c>
      <c r="E83" s="12" t="inlineStr">
        <is>
          <t>20:30</t>
        </is>
      </c>
      <c r="F83" s="12" t="inlineStr">
        <is>
          <t>Instagram</t>
        </is>
      </c>
      <c r="G83" s="14" t="inlineStr">
        <is>
          <t>Reel 40s</t>
        </is>
      </c>
      <c r="H83" s="14" t="inlineStr">
        <is>
          <t>One Call</t>
        </is>
      </c>
      <c r="I83" s="14" t="inlineStr">
        <is>
          <t>All</t>
        </is>
      </c>
      <c r="J83" s="14" t="inlineStr">
        <is>
          <t>Concierge Confessions</t>
        </is>
      </c>
      <c r="K83" s="14" t="inlineStr">
        <is>
          <t>Evergreen</t>
        </is>
      </c>
      <c r="L83" s="15" t="inlineStr">
        <is>
          <t>Concierge Confessions #2: the 2am rebooking</t>
        </is>
      </c>
      <c r="M83" s="14" t="inlineStr">
        <is>
          <t>On-screen: 'The flight's cancelled.' 'OK. Give me 20 minutes.'</t>
        </is>
      </c>
      <c r="N83" s="14" t="inlineStr">
        <is>
          <t>02:00 · 20 minutes · new route</t>
        </is>
      </c>
      <c r="O83" s="16" t="inlineStr">
        <is>
          <t>٢ الفجر · ٢٠ دقيقة · مسار جديد</t>
        </is>
      </c>
      <c r="P83" s="16" t="inlineStr">
        <is>
          <t>رحلة ألغيت الساعة ٢ الفجر… و٢٠ دقيقة بعدها كان فيه مسار جديد، فندق، وسيارة تنتظر.
«من دفتر الكونسيرج» الحلقة ٢</t>
        </is>
      </c>
      <c r="Q83" s="14" t="inlineStr">
        <is>
          <t>A flight cancelled at 2 a.m., and 20 minutes later a new route, a hotel and a car waiting. 'Concierge Confessions', episode 2.</t>
        </is>
      </c>
      <c r="R83" s="14" t="inlineStr">
        <is>
          <t>الغاء رحلة وش اسوي, travel concierge</t>
        </is>
      </c>
      <c r="S83" s="16" t="inlineStr">
        <is>
          <t>#من_دفتر_الكونسيرج #مادا #سفر #MadaTrips #قصص_سفر</t>
        </is>
      </c>
      <c r="T83" s="14" t="inlineStr">
        <is>
          <t>Save + follow</t>
        </is>
      </c>
      <c r="U83" s="14" t="inlineStr">
        <is>
          <t>Same storytime format. Calm, reassuring tone. Focus on the fix, not the problem.</t>
        </is>
      </c>
      <c r="V83" s="25" t="inlineStr">
        <is>
          <t>SENSITIVITY: no reference to the October attacks. Keep the story generic (weather, technical).</t>
        </is>
      </c>
      <c r="W83" s="14" t="inlineStr"/>
      <c r="X83" s="14" t="inlineStr">
        <is>
          <t>Scripted</t>
        </is>
      </c>
      <c r="Y83" s="17" t="n"/>
      <c r="Z83" s="17" t="n"/>
      <c r="AA83" s="17" t="n"/>
      <c r="AB83" s="17" t="n"/>
      <c r="AC83" s="17" t="n"/>
      <c r="AD83" s="17" t="n"/>
      <c r="AE83" s="18">
        <f>IF(OR(Y83="",Y83=0),"",(AA83+AB83+AC83+AD83)/Y83)</f>
        <v/>
      </c>
    </row>
    <row r="84">
      <c r="A84" s="12" t="n">
        <v>83</v>
      </c>
      <c r="B84" s="12" t="inlineStr">
        <is>
          <t>22-IG-2130</t>
        </is>
      </c>
      <c r="C84" s="13" t="n">
        <v>46348</v>
      </c>
      <c r="D84" s="12" t="inlineStr">
        <is>
          <t>Sun</t>
        </is>
      </c>
      <c r="E84" s="12" t="inlineStr">
        <is>
          <t>21:30</t>
        </is>
      </c>
      <c r="F84" s="12" t="inlineStr">
        <is>
          <t>Instagram</t>
        </is>
      </c>
      <c r="G84" s="14" t="inlineStr">
        <is>
          <t>Carousel 10</t>
        </is>
      </c>
      <c r="H84" s="14" t="inlineStr">
        <is>
          <t>World Horizons</t>
        </is>
      </c>
      <c r="I84" s="14" t="inlineStr">
        <is>
          <t>Global</t>
        </is>
      </c>
      <c r="J84" s="14" t="inlineStr">
        <is>
          <t>World Radar</t>
        </is>
      </c>
      <c r="K84" s="14" t="inlineStr">
        <is>
          <t>Global events Dec-Feb</t>
        </is>
      </c>
      <c r="L84" s="15" t="inlineStr">
        <is>
          <t>World Radar #2: Dec-Feb</t>
        </is>
      </c>
      <c r="M84" s="14" t="inlineStr">
        <is>
          <t>Slide 1: Plan the winter now. 9 dates worth flying for, Dec-Feb.</t>
        </is>
      </c>
      <c r="N84" s="14" t="inlineStr">
        <is>
          <t>World Radar · Dec-Feb</t>
        </is>
      </c>
      <c r="O84" s="16" t="inlineStr">
        <is>
          <t>رادار العالم · ديسمبر–فبراير</t>
        </is>
      </c>
      <c r="P84" s="16" t="inlineStr">
        <is>
          <t>رادار العالم 🌍 احجز الشتاء من الحين:
• ٨–٩ ديسمبر: برشلونة × سيتي، أرسنال × ريال مدريد
• ٤ ديسمبر – ١٧ يناير: مهرجان دبي للتسوق
• ٣١ ديسمبر: رأس السنة بدبي أو لندن
• من ٦ يناير: تخفيضات باريس الشتوية
• ٧ يناير: كأس آسيا عندنا في السعودية 🇸🇦
• ١٤ يناير: NBA في باريس
• ٢–٧ فبراير: السوبر الإسباني في إسطنبول (٤ ساعات!)
• ٤–١١ فبراير: مهرجان الثلج في سابورو
إجازة منتصف العام تبدأ ٨ يناير. خطط من الحين.</t>
        </is>
      </c>
      <c r="Q84" s="14" t="inlineStr">
        <is>
          <t>World Radar: book the winter now. Barcelona v City and Arsenal v Real Madrid (8-9 Dec), Dubai Shopping Festival (4 Dec-17 Jan), NYE in Dubai or London, Paris winter sales (from 6 Jan), the Asian Cup at home (from 7 Jan), NBA in Paris (14 Jan), the Spanish Super Cup in Istanbul (2-7 Feb, 4 hours away), Sapporo Snow Festival (4-11 Feb). The mid-year break starts 8 January.</t>
        </is>
      </c>
      <c r="R84" s="14" t="inlineStr">
        <is>
          <t>وين اسافر اجازة منتصف العام, فعاليات يناير, السوبر الاسباني اسطنبول</t>
        </is>
      </c>
      <c r="S84" s="16" t="inlineStr">
        <is>
          <t>#رادار_العالم #إجازة_منتصف_العام #سفر #السوبر_الإسباني #مادا</t>
        </is>
      </c>
      <c r="T84" s="14" t="inlineStr">
        <is>
          <t>Save + comment where you want to be</t>
        </is>
      </c>
      <c r="U84" s="14" t="inlineStr">
        <is>
          <t>World Radar template.</t>
        </is>
      </c>
      <c r="V84" s="14" t="inlineStr">
        <is>
          <t>Note that the Super Cup is in Istanbul in 2027, not Saudi Arabia.</t>
        </is>
      </c>
      <c r="W84" s="14" t="inlineStr"/>
      <c r="X84" s="14" t="inlineStr">
        <is>
          <t>Scripted</t>
        </is>
      </c>
      <c r="Y84" s="17" t="n"/>
      <c r="Z84" s="17" t="n"/>
      <c r="AA84" s="17" t="n"/>
      <c r="AB84" s="17" t="n"/>
      <c r="AC84" s="17" t="n"/>
      <c r="AD84" s="17" t="n"/>
      <c r="AE84" s="18">
        <f>IF(OR(Y84="",Y84=0),"",(AA84+AB84+AC84+AD84)/Y84)</f>
        <v/>
      </c>
    </row>
    <row r="85">
      <c r="A85" s="19" t="n">
        <v>84</v>
      </c>
      <c r="B85" s="19" t="inlineStr">
        <is>
          <t>22-TT-2100</t>
        </is>
      </c>
      <c r="C85" s="20" t="n">
        <v>46348</v>
      </c>
      <c r="D85" s="19" t="inlineStr">
        <is>
          <t>Sun</t>
        </is>
      </c>
      <c r="E85" s="19" t="inlineStr">
        <is>
          <t>21:00</t>
        </is>
      </c>
      <c r="F85" s="19" t="inlineStr">
        <is>
          <t>TikTok</t>
        </is>
      </c>
      <c r="G85" s="14" t="inlineStr">
        <is>
          <t>Video 50s</t>
        </is>
      </c>
      <c r="H85" s="14" t="inlineStr">
        <is>
          <t>World Horizons</t>
        </is>
      </c>
      <c r="I85" s="14" t="inlineStr">
        <is>
          <t>Global</t>
        </is>
      </c>
      <c r="J85" s="14" t="inlineStr"/>
      <c r="K85" s="14" t="inlineStr">
        <is>
          <t>Türkiye: a top-two Saudi destination (Wego, Almosafer 2026)</t>
        </is>
      </c>
      <c r="L85" s="15" t="inlineStr">
        <is>
          <t>Istanbul with family: 4 days that work</t>
        </is>
      </c>
      <c r="M85" s="16" t="inlineStr">
        <is>
          <t>On-screen: إسطنبول مع العيال… بدون تعب 👨‍👩‍👧 (٤ أيام)</t>
        </is>
      </c>
      <c r="N85" s="14" t="inlineStr">
        <is>
          <t>Istanbul with family: 4 days</t>
        </is>
      </c>
      <c r="O85" s="16" t="inlineStr">
        <is>
          <t>إسطنبول مع العائلة: ٤ أيام</t>
        </is>
      </c>
      <c r="P85" s="16" t="inlineStr">
        <is>
          <t>إسطنبول مع العائلة ٤ أيام بدون تعب 🇹🇷 احفظ البرنامج، وبدون فيزا للسعوديين.</t>
        </is>
      </c>
      <c r="Q85" s="14" t="inlineStr">
        <is>
          <t>Istanbul with the family, 4 days without the exhaustion. Save the plan, and no visa needed for Saudis.</t>
        </is>
      </c>
      <c r="R85" s="14" t="inlineStr">
        <is>
          <t>برنامج اسطنبول ٤ ايام, اسطنبول مع العائلة, سياحة تركيا</t>
        </is>
      </c>
      <c r="S85" s="16" t="inlineStr">
        <is>
          <t>#إسطنبول #تركيا #السفر_مع_العائلة #برنامج_سياحي #مادا</t>
        </is>
      </c>
      <c r="T85" s="14" t="inlineStr">
        <is>
          <t>Save</t>
        </is>
      </c>
      <c r="U85" s="14" t="inlineStr">
        <is>
          <t>Timeline video: Day 1 Sultanahmet + Bosphorus cruise, Day 2 Princes' Islands, Day 3 Vialand/aquarium, Day 4 shopping + Çamlıca Mosque. Tips: connecting rooms on the Asian or European side, halal is everywhere, avoid bridge traffic at 5pm. No children's faces.</t>
        </is>
      </c>
      <c r="V85" s="14" t="inlineStr"/>
      <c r="W85" s="14" t="inlineStr"/>
      <c r="X85" s="14" t="inlineStr">
        <is>
          <t>Scripted</t>
        </is>
      </c>
      <c r="Y85" s="17" t="n"/>
      <c r="Z85" s="17" t="n"/>
      <c r="AA85" s="17" t="n"/>
      <c r="AB85" s="17" t="n"/>
      <c r="AC85" s="17" t="n"/>
      <c r="AD85" s="17" t="n"/>
      <c r="AE85" s="18">
        <f>IF(OR(Y85="",Y85=0),"",(AA85+AB85+AC85+AD85)/Y85)</f>
        <v/>
      </c>
    </row>
    <row r="86">
      <c r="A86" s="21" t="n">
        <v>85</v>
      </c>
      <c r="B86" s="21" t="inlineStr">
        <is>
          <t>22-X-1300</t>
        </is>
      </c>
      <c r="C86" s="22" t="n">
        <v>46348</v>
      </c>
      <c r="D86" s="21" t="inlineStr">
        <is>
          <t>Sun</t>
        </is>
      </c>
      <c r="E86" s="21" t="inlineStr">
        <is>
          <t>13:00</t>
        </is>
      </c>
      <c r="F86" s="21" t="inlineStr">
        <is>
          <t>X</t>
        </is>
      </c>
      <c r="G86" s="14" t="inlineStr">
        <is>
          <t>Thread 5</t>
        </is>
      </c>
      <c r="H86" s="14" t="inlineStr">
        <is>
          <t>World Horizons</t>
        </is>
      </c>
      <c r="I86" s="14" t="inlineStr">
        <is>
          <t>Global</t>
        </is>
      </c>
      <c r="J86" s="14" t="inlineStr">
        <is>
          <t>World Radar</t>
        </is>
      </c>
      <c r="K86" s="14" t="inlineStr">
        <is>
          <t>Global events Dec-Feb</t>
        </is>
      </c>
      <c r="L86" s="15" t="inlineStr">
        <is>
          <t>World Radar #2 on X</t>
        </is>
      </c>
      <c r="M86" s="16" t="inlineStr">
        <is>
          <t>إجازة منتصف العام تبدأ ٨ يناير. هذي أحداث العالم اللي تستاهل 🧵</t>
        </is>
      </c>
      <c r="N86" s="14" t="inlineStr"/>
      <c r="O86" s="14" t="inlineStr"/>
      <c r="P86" s="16" t="inlineStr">
        <is>
          <t>١/ إجازة منتصف العام تبدأ ٨ يناير. هذي أحداث العالم اللي تستاهل السفرة 🧵
٢/ ديسمبر: مهرجان دبي للتسوق من ٤ ديسمبر، وليلة رأس السنة
٣/ يناير: تخفيضات باريس من ٦ يناير، وNBA في باريس ١٤ يناير
٤/ فبراير: السوبر الإسباني في إسطنبول ٢–٧ فبراير، ٤ ساعات من الرياض
٥/ ولكأس آسيا عندنا من ٧ يناير، خلك قريب 🇸🇦</t>
        </is>
      </c>
      <c r="Q86" s="14" t="inlineStr">
        <is>
          <t>1/ The mid-year break starts 8 Jan. Global events worth the trip. 2/ December: Dubai Shopping Festival from 4 Dec, New Year's Eve. 3/ January: Paris sales from 6 Jan, NBA in Paris 14 Jan. 4/ February: the Spanish Super Cup in Istanbul 2-7 Feb, 4 hours from Riyadh. 5/ And the Asian Cup is at home from 7 Jan.</t>
        </is>
      </c>
      <c r="R86" s="14" t="inlineStr">
        <is>
          <t>اجازة منتصف العام</t>
        </is>
      </c>
      <c r="S86" s="16" t="inlineStr">
        <is>
          <t>#إجازة_منتصف_العام</t>
        </is>
      </c>
      <c r="T86" s="14" t="inlineStr">
        <is>
          <t>Bookmark</t>
        </is>
      </c>
      <c r="U86" s="14" t="inlineStr">
        <is>
          <t>Text thread.</t>
        </is>
      </c>
      <c r="V86" s="14" t="inlineStr"/>
      <c r="W86" s="14" t="inlineStr"/>
      <c r="X86" s="14" t="inlineStr">
        <is>
          <t>Scripted</t>
        </is>
      </c>
      <c r="Y86" s="17" t="n"/>
      <c r="Z86" s="17" t="n"/>
      <c r="AA86" s="17" t="n"/>
      <c r="AB86" s="17" t="n"/>
      <c r="AC86" s="17" t="n"/>
      <c r="AD86" s="17" t="n"/>
      <c r="AE86" s="18">
        <f>IF(OR(Y86="",Y86=0),"",(AA86+AB86+AC86+AD86)/Y86)</f>
        <v/>
      </c>
    </row>
    <row r="87">
      <c r="A87" s="23" t="n">
        <v>86</v>
      </c>
      <c r="B87" s="23" t="inlineStr">
        <is>
          <t>22-LI-0930</t>
        </is>
      </c>
      <c r="C87" s="24" t="n">
        <v>46348</v>
      </c>
      <c r="D87" s="23" t="inlineStr">
        <is>
          <t>Sun</t>
        </is>
      </c>
      <c r="E87" s="23" t="inlineStr">
        <is>
          <t>09:30</t>
        </is>
      </c>
      <c r="F87" s="23" t="inlineStr">
        <is>
          <t>LinkedIn</t>
        </is>
      </c>
      <c r="G87" s="14" t="inlineStr">
        <is>
          <t>Document 7 pages</t>
        </is>
      </c>
      <c r="H87" s="14" t="inlineStr">
        <is>
          <t>Events &amp; Business</t>
        </is>
      </c>
      <c r="I87" s="14" t="inlineStr">
        <is>
          <t>B2B</t>
        </is>
      </c>
      <c r="J87" s="14" t="inlineStr">
        <is>
          <t>Field Notes</t>
        </is>
      </c>
      <c r="K87" s="14" t="inlineStr">
        <is>
          <t>Q4 budgeting season</t>
        </is>
      </c>
      <c r="L87" s="15" t="inlineStr">
        <is>
          <t>Field Notes #3: 5 travel-policy clauses that save money in 2027</t>
        </is>
      </c>
      <c r="M87" s="14" t="inlineStr">
        <is>
          <t>Page 1: Most travel policies were written for 2019.</t>
        </is>
      </c>
      <c r="N87" s="14" t="inlineStr">
        <is>
          <t>5 travel-policy clauses for 2027</t>
        </is>
      </c>
      <c r="O87" s="14" t="inlineStr"/>
      <c r="P87" s="14" t="inlineStr"/>
      <c r="Q87" s="14" t="inlineStr">
        <is>
          <t>Field Notes #3. Most corporate travel policies were written for a world that no longer exists.
5 clauses we recommend for 2027:
1. Book by default 21+ days ahead, with exceptions approved in one tap
2. Flexible fares for any trip with a fixed meeting
3. Preferred hotels near the work, not near the airport
4. A single 24/7 line for disruptions
5. Monthly reporting by project and cost centre
Which one would your finance team push back on?</t>
        </is>
      </c>
      <c r="R87" s="14" t="inlineStr">
        <is>
          <t>corporate travel policy, travel management company Saudi Arabia</t>
        </is>
      </c>
      <c r="S87" s="14" t="inlineStr">
        <is>
          <t>#FieldNotes #CorporateTravel #Procurement #Finance</t>
        </is>
      </c>
      <c r="T87" s="14" t="inlineStr">
        <is>
          <t>Comment</t>
        </is>
      </c>
      <c r="U87" s="14" t="inlineStr">
        <is>
          <t>PDF document, a policy-document look (numbered clauses, margins).</t>
        </is>
      </c>
      <c r="V87" s="14" t="inlineStr"/>
      <c r="W87" s="14" t="inlineStr"/>
      <c r="X87" s="14" t="inlineStr">
        <is>
          <t>Scripted</t>
        </is>
      </c>
      <c r="Y87" s="17" t="n"/>
      <c r="Z87" s="17" t="n"/>
      <c r="AA87" s="17" t="n"/>
      <c r="AB87" s="17" t="n"/>
      <c r="AC87" s="17" t="n"/>
      <c r="AD87" s="17" t="n"/>
      <c r="AE87" s="18">
        <f>IF(OR(Y87="",Y87=0),"",(AA87+AB87+AC87+AD87)/Y87)</f>
        <v/>
      </c>
    </row>
    <row r="88">
      <c r="A88" s="12" t="n">
        <v>87</v>
      </c>
      <c r="B88" s="12" t="inlineStr">
        <is>
          <t>23-IG-2030</t>
        </is>
      </c>
      <c r="C88" s="13" t="n">
        <v>46349</v>
      </c>
      <c r="D88" s="12" t="inlineStr">
        <is>
          <t>Mon</t>
        </is>
      </c>
      <c r="E88" s="12" t="inlineStr">
        <is>
          <t>20:30</t>
        </is>
      </c>
      <c r="F88" s="12" t="inlineStr">
        <is>
          <t>Instagram</t>
        </is>
      </c>
      <c r="G88" s="14" t="inlineStr">
        <is>
          <t>Carousel 8</t>
        </is>
      </c>
      <c r="H88" s="14" t="inlineStr">
        <is>
          <t>World Horizons</t>
        </is>
      </c>
      <c r="I88" s="14" t="inlineStr">
        <is>
          <t>Global</t>
        </is>
      </c>
      <c r="J88" s="14" t="inlineStr"/>
      <c r="K88" s="14" t="inlineStr">
        <is>
          <t>Trend: destination dupes</t>
        </is>
      </c>
      <c r="L88" s="15" t="inlineStr">
        <is>
          <t>Destination dupes: love X? try Y</t>
        </is>
      </c>
      <c r="M88" s="14" t="inlineStr">
        <is>
          <t>Slide 1: Love Switzerland? You might love this more (and it's closer).</t>
        </is>
      </c>
      <c r="N88" s="14" t="inlineStr">
        <is>
          <t>Destination dupes</t>
        </is>
      </c>
      <c r="O88" s="16" t="inlineStr">
        <is>
          <t>بدائل الوجهات</t>
        </is>
      </c>
      <c r="P88" s="16" t="inlineStr">
        <is>
          <t>تحب سويسرا؟ جرب جورجيا 🏔️
تحب المالديف؟ جرب البحر الأحمر 🌊
تحب الأندلس؟ جرب الدرعية 🏛️
بدائل أقرب، وأحياناً أحلى. وش البديل اللي تقترحه؟</t>
        </is>
      </c>
      <c r="Q88" s="14" t="inlineStr">
        <is>
          <t>Love Switzerland? Try Georgia. Love the Maldives? Try the Red Sea. Love Andalusia? Try Diriyah. Closer alternatives, sometimes better. What dupe would you suggest?</t>
        </is>
      </c>
      <c r="R88" s="14" t="inlineStr">
        <is>
          <t>بدائل سويسرا, البحر الاحمر بديل المالديف, destination dupes</t>
        </is>
      </c>
      <c r="S88" s="16" t="inlineStr">
        <is>
          <t>#سفر #البحر_الأحمر #جورجيا #الدرعية #مادا</t>
        </is>
      </c>
      <c r="T88" s="14" t="inlineStr">
        <is>
          <t>Comment your dupe</t>
        </is>
      </c>
      <c r="U88" s="14" t="inlineStr">
        <is>
          <t>Side-by-side split slides 'Love → Try'. Real photos. The 'dupe' structure is a strong save/share trigger.</t>
        </is>
      </c>
      <c r="V88" s="14" t="inlineStr"/>
      <c r="W88" s="14" t="inlineStr"/>
      <c r="X88" s="14" t="inlineStr">
        <is>
          <t>Scripted</t>
        </is>
      </c>
      <c r="Y88" s="17" t="n"/>
      <c r="Z88" s="17" t="n"/>
      <c r="AA88" s="17" t="n"/>
      <c r="AB88" s="17" t="n"/>
      <c r="AC88" s="17" t="n"/>
      <c r="AD88" s="17" t="n"/>
      <c r="AE88" s="18">
        <f>IF(OR(Y88="",Y88=0),"",(AA88+AB88+AC88+AD88)/Y88)</f>
        <v/>
      </c>
    </row>
    <row r="89">
      <c r="A89" s="19" t="n">
        <v>88</v>
      </c>
      <c r="B89" s="19" t="inlineStr">
        <is>
          <t>23-TT-2100</t>
        </is>
      </c>
      <c r="C89" s="20" t="n">
        <v>46349</v>
      </c>
      <c r="D89" s="19" t="inlineStr">
        <is>
          <t>Mon</t>
        </is>
      </c>
      <c r="E89" s="19" t="inlineStr">
        <is>
          <t>21:00</t>
        </is>
      </c>
      <c r="F89" s="19" t="inlineStr">
        <is>
          <t>TikTok</t>
        </is>
      </c>
      <c r="G89" s="14" t="inlineStr">
        <is>
          <t>Video 40s</t>
        </is>
      </c>
      <c r="H89" s="14" t="inlineStr">
        <is>
          <t>World Horizons</t>
        </is>
      </c>
      <c r="I89" s="14" t="inlineStr">
        <is>
          <t>Global</t>
        </is>
      </c>
      <c r="J89" s="14" t="inlineStr"/>
      <c r="K89" s="14" t="inlineStr">
        <is>
          <t>Trend: dupes</t>
        </is>
      </c>
      <c r="L89" s="15" t="inlineStr">
        <is>
          <t>Dupes: Switzerland? Try this</t>
        </is>
      </c>
      <c r="M89" s="16" t="inlineStr">
        <is>
          <t>On-screen: سويسرا غالية؟ 👀 جرب هذي</t>
        </is>
      </c>
      <c r="N89" s="14" t="inlineStr">
        <is>
          <t>Switzerland? Try this.</t>
        </is>
      </c>
      <c r="O89" s="16" t="inlineStr">
        <is>
          <t>سويسرا؟ جرب هذي</t>
        </is>
      </c>
      <c r="P89" s="16" t="inlineStr">
        <is>
          <t>بدائل الوجهات المشهورة… أقرب وأوفر 👀 أي واحد يستاهل؟</t>
        </is>
      </c>
      <c r="Q89" s="14" t="inlineStr">
        <is>
          <t>Alternatives to famous destinations, closer and better value. Which one is worth it?</t>
        </is>
      </c>
      <c r="R89" s="14" t="inlineStr">
        <is>
          <t>بديل سويسرا, جورجيا في الشتاء, Gudauri</t>
        </is>
      </c>
      <c r="S89" s="16" t="inlineStr">
        <is>
          <t>#جورجيا #سفر #بدائل_سياحية #شتاء #مادا</t>
        </is>
      </c>
      <c r="T89" s="14" t="inlineStr">
        <is>
          <t>Comment 'worth it?'</t>
        </is>
      </c>
      <c r="U89" s="14" t="inlineStr">
        <is>
          <t>Green-screen 'this or that' with Gudauri snow (Georgia ski season opens around December), Red Sea, Diriyah.</t>
        </is>
      </c>
      <c r="V89" s="14" t="inlineStr"/>
      <c r="W89" s="14" t="inlineStr"/>
      <c r="X89" s="14" t="inlineStr">
        <is>
          <t>Scripted</t>
        </is>
      </c>
      <c r="Y89" s="17" t="n"/>
      <c r="Z89" s="17" t="n"/>
      <c r="AA89" s="17" t="n"/>
      <c r="AB89" s="17" t="n"/>
      <c r="AC89" s="17" t="n"/>
      <c r="AD89" s="17" t="n"/>
      <c r="AE89" s="18">
        <f>IF(OR(Y89="",Y89=0),"",(AA89+AB89+AC89+AD89)/Y89)</f>
        <v/>
      </c>
    </row>
    <row r="90">
      <c r="A90" s="21" t="n">
        <v>89</v>
      </c>
      <c r="B90" s="21" t="inlineStr">
        <is>
          <t>23-X-1230</t>
        </is>
      </c>
      <c r="C90" s="22" t="n">
        <v>46349</v>
      </c>
      <c r="D90" s="21" t="inlineStr">
        <is>
          <t>Mon</t>
        </is>
      </c>
      <c r="E90" s="21" t="inlineStr">
        <is>
          <t>12:30</t>
        </is>
      </c>
      <c r="F90" s="21" t="inlineStr">
        <is>
          <t>X</t>
        </is>
      </c>
      <c r="G90" s="14" t="inlineStr">
        <is>
          <t>Thread 4</t>
        </is>
      </c>
      <c r="H90" s="14" t="inlineStr">
        <is>
          <t>Know Before You Go</t>
        </is>
      </c>
      <c r="I90" s="14" t="inlineStr">
        <is>
          <t>Global</t>
        </is>
      </c>
      <c r="J90" s="14" t="inlineStr"/>
      <c r="K90" s="14" t="inlineStr">
        <is>
          <t>China visa-free window ends 31 Dec</t>
        </is>
      </c>
      <c r="L90" s="15" t="inlineStr">
        <is>
          <t>Visa-free reminders: China &amp; Russia</t>
        </is>
      </c>
      <c r="M90" s="16" t="inlineStr">
        <is>
          <t>دولتين تقدر تسافر لها بدون فيزا هالسنة 🧵</t>
        </is>
      </c>
      <c r="N90" s="14" t="inlineStr"/>
      <c r="O90" s="14" t="inlineStr"/>
      <c r="P90" s="16" t="inlineStr">
        <is>
          <t>١/ دولتين تقدر تسافر لها بجوازك السعودي بدون فيزا هالسنة 🧵
٢/ الصين: دخول بدون تأشيرة ممدد لين ٣١ ديسمبر ٢٠٢٦
٣/ روسيا: بدون تأشيرة من مايو ٢٠٢٦، لين ٩٠ يوم بالسنة
٤/ تحقق من الشروط قبل الحجز، وتبي برنامج؟ كلمنا.</t>
        </is>
      </c>
      <c r="Q90" s="14" t="inlineStr">
        <is>
          <t>1/ Two countries you can visit visa-free on a Saudi passport this year. 2/ China: visa-free entry extended to 31 Dec 2026. 3/ Russia: visa-free since May 2026, up to 90 days a year. 4/ Check the conditions before booking.</t>
        </is>
      </c>
      <c r="R90" s="14" t="inlineStr">
        <is>
          <t>بدون فيزا للسعوديين, الصين بدون تأشيرة</t>
        </is>
      </c>
      <c r="S90" s="16" t="inlineStr">
        <is>
          <t>#بدون_فيزا</t>
        </is>
      </c>
      <c r="T90" s="14" t="inlineStr">
        <is>
          <t>Bookmark</t>
        </is>
      </c>
      <c r="U90" s="14" t="inlineStr">
        <is>
          <t>Text thread.</t>
        </is>
      </c>
      <c r="V90" s="14" t="inlineStr">
        <is>
          <t>Verify both rules with the official embassy pages the week of posting.</t>
        </is>
      </c>
      <c r="W90" s="14" t="inlineStr"/>
      <c r="X90" s="14" t="inlineStr">
        <is>
          <t>Scripted</t>
        </is>
      </c>
      <c r="Y90" s="17" t="n"/>
      <c r="Z90" s="17" t="n"/>
      <c r="AA90" s="17" t="n"/>
      <c r="AB90" s="17" t="n"/>
      <c r="AC90" s="17" t="n"/>
      <c r="AD90" s="17" t="n"/>
      <c r="AE90" s="18">
        <f>IF(OR(Y90="",Y90=0),"",(AA90+AB90+AC90+AD90)/Y90)</f>
        <v/>
      </c>
    </row>
    <row r="91">
      <c r="A91" s="12" t="n">
        <v>90</v>
      </c>
      <c r="B91" s="12" t="inlineStr">
        <is>
          <t>24-IG-2030</t>
        </is>
      </c>
      <c r="C91" s="13" t="n">
        <v>46350</v>
      </c>
      <c r="D91" s="12" t="inlineStr">
        <is>
          <t>Tue</t>
        </is>
      </c>
      <c r="E91" s="12" t="inlineStr">
        <is>
          <t>20:30</t>
        </is>
      </c>
      <c r="F91" s="12" t="inlineStr">
        <is>
          <t>Instagram</t>
        </is>
      </c>
      <c r="G91" s="14" t="inlineStr">
        <is>
          <t>Reel 35s</t>
        </is>
      </c>
      <c r="H91" s="14" t="inlineStr">
        <is>
          <t>Events &amp; Business</t>
        </is>
      </c>
      <c r="I91" s="14" t="inlineStr">
        <is>
          <t>B2B</t>
        </is>
      </c>
      <c r="J91" s="14" t="inlineStr">
        <is>
          <t>Behind the Curtain</t>
        </is>
      </c>
      <c r="K91" s="14" t="inlineStr">
        <is>
          <t>Evergreen events</t>
        </is>
      </c>
      <c r="L91" s="15" t="inlineStr">
        <is>
          <t>Behind the Curtain #2: a gala run to the second</t>
        </is>
      </c>
      <c r="M91" s="14" t="inlineStr">
        <is>
          <t>A show caller's voice: 'Standby cue 14… go.'</t>
        </is>
      </c>
      <c r="N91" s="14" t="inlineStr">
        <is>
          <t>Cue 14 · go</t>
        </is>
      </c>
      <c r="O91" s="16" t="inlineStr">
        <is>
          <t>الإشارة ١٤ · انطلق</t>
        </is>
      </c>
      <c r="P91" s="16" t="inlineStr">
        <is>
          <t>«استعداد… الإشارة ١٤… انطلق»
كل حفل ناجح وراه شخص يمشي الفعالية بالثانية. «خلف الستارة» الحلقة ٢.</t>
        </is>
      </c>
      <c r="Q91" s="14" t="inlineStr">
        <is>
          <t>'Standby… cue 14… go.' Behind every great gala is someone running it to the second. 'Behind the Curtain', episode 2.</t>
        </is>
      </c>
      <c r="R91" s="14" t="inlineStr">
        <is>
          <t>تنظيم حفلات الرياض, تنظيم حفل جوائز, gala event Riyadh</t>
        </is>
      </c>
      <c r="S91" s="16" t="inlineStr">
        <is>
          <t>#خلف_الستارة #تنظيم_فعاليات #حفلات #مادا #MadaEvents</t>
        </is>
      </c>
      <c r="T91" s="14" t="inlineStr">
        <is>
          <t>DM 'EVENT'</t>
        </is>
      </c>
      <c r="U91" s="14" t="inlineStr">
        <is>
          <t>Show-caller POV from the control desk: headset audio, a run-of-show sheet, cues hitting on stage. Real event footage.</t>
        </is>
      </c>
      <c r="V91" s="14" t="inlineStr">
        <is>
          <t>Needs our own event footage.</t>
        </is>
      </c>
      <c r="W91" s="14" t="inlineStr"/>
      <c r="X91" s="14" t="inlineStr">
        <is>
          <t>Scripted</t>
        </is>
      </c>
      <c r="Y91" s="17" t="n"/>
      <c r="Z91" s="17" t="n"/>
      <c r="AA91" s="17" t="n"/>
      <c r="AB91" s="17" t="n"/>
      <c r="AC91" s="17" t="n"/>
      <c r="AD91" s="17" t="n"/>
      <c r="AE91" s="18">
        <f>IF(OR(Y91="",Y91=0),"",(AA91+AB91+AC91+AD91)/Y91)</f>
        <v/>
      </c>
    </row>
    <row r="92">
      <c r="A92" s="19" t="n">
        <v>91</v>
      </c>
      <c r="B92" s="19" t="inlineStr">
        <is>
          <t>24-TT-2100</t>
        </is>
      </c>
      <c r="C92" s="20" t="n">
        <v>46350</v>
      </c>
      <c r="D92" s="19" t="inlineStr">
        <is>
          <t>Tue</t>
        </is>
      </c>
      <c r="E92" s="19" t="inlineStr">
        <is>
          <t>21:00</t>
        </is>
      </c>
      <c r="F92" s="19" t="inlineStr">
        <is>
          <t>TikTok</t>
        </is>
      </c>
      <c r="G92" s="14" t="inlineStr">
        <is>
          <t>Video 45s</t>
        </is>
      </c>
      <c r="H92" s="14" t="inlineStr">
        <is>
          <t>One Call</t>
        </is>
      </c>
      <c r="I92" s="14" t="inlineStr">
        <is>
          <t>All</t>
        </is>
      </c>
      <c r="J92" s="14" t="inlineStr"/>
      <c r="K92" s="14" t="inlineStr">
        <is>
          <t>Trend: day in the life / Reali-TEA</t>
        </is>
      </c>
      <c r="L92" s="15" t="inlineStr">
        <is>
          <t>Day in the life of a Mada concierge</t>
        </is>
      </c>
      <c r="M92" s="16" t="inlineStr">
        <is>
          <t>On-screen: يوم كامل مع كونسيرج سفر بالرياض ☕📞</t>
        </is>
      </c>
      <c r="N92" s="14" t="inlineStr">
        <is>
          <t>A day with a Riyadh travel concierge</t>
        </is>
      </c>
      <c r="O92" s="16" t="inlineStr">
        <is>
          <t>يوم مع كونسيرج سفر بالرياض</t>
        </is>
      </c>
      <c r="P92" s="16" t="inlineStr">
        <is>
          <t>يوم كامل مع كونسيرج سفر بالرياض ☕📞 وش تتوقع أغرب طلب جانا؟</t>
        </is>
      </c>
      <c r="Q92" s="14" t="inlineStr">
        <is>
          <t>A full day with a travel concierge in Riyadh. Guess the strangest request we've had?</t>
        </is>
      </c>
      <c r="R92" s="14" t="inlineStr">
        <is>
          <t>يومي في العمل, وظيفة كونسيرج, day in the life travel agent</t>
        </is>
      </c>
      <c r="S92" s="16" t="inlineStr">
        <is>
          <t>#يوم_في_حياتي #مادا #سفر #الرياض #DayInTheLife</t>
        </is>
      </c>
      <c r="T92" s="14" t="inlineStr">
        <is>
          <t>Guess in comments</t>
        </is>
      </c>
      <c r="U92" s="14" t="inlineStr">
        <is>
          <t>Vlog style, 8 time-stamped beats from 08:00 coffee to 23:00 'one more call'. Natural, lightly funny, real.</t>
        </is>
      </c>
      <c r="V92" s="14" t="inlineStr"/>
      <c r="W92" s="14" t="inlineStr"/>
      <c r="X92" s="14" t="inlineStr">
        <is>
          <t>Scripted</t>
        </is>
      </c>
      <c r="Y92" s="17" t="n"/>
      <c r="Z92" s="17" t="n"/>
      <c r="AA92" s="17" t="n"/>
      <c r="AB92" s="17" t="n"/>
      <c r="AC92" s="17" t="n"/>
      <c r="AD92" s="17" t="n"/>
      <c r="AE92" s="18">
        <f>IF(OR(Y92="",Y92=0),"",(AA92+AB92+AC92+AD92)/Y92)</f>
        <v/>
      </c>
    </row>
    <row r="93">
      <c r="A93" s="21" t="n">
        <v>92</v>
      </c>
      <c r="B93" s="21" t="inlineStr">
        <is>
          <t>24-X-1300</t>
        </is>
      </c>
      <c r="C93" s="22" t="n">
        <v>46350</v>
      </c>
      <c r="D93" s="21" t="inlineStr">
        <is>
          <t>Tue</t>
        </is>
      </c>
      <c r="E93" s="21" t="inlineStr">
        <is>
          <t>13:00</t>
        </is>
      </c>
      <c r="F93" s="21" t="inlineStr">
        <is>
          <t>X</t>
        </is>
      </c>
      <c r="G93" s="14" t="inlineStr">
        <is>
          <t>Post</t>
        </is>
      </c>
      <c r="H93" s="14" t="inlineStr">
        <is>
          <t>Moments &amp; Offers</t>
        </is>
      </c>
      <c r="I93" s="14" t="inlineStr">
        <is>
          <t>All</t>
        </is>
      </c>
      <c r="J93" s="14" t="inlineStr"/>
      <c r="K93" s="14" t="inlineStr">
        <is>
          <t>White Friday 27 Nov</t>
        </is>
      </c>
      <c r="L93" s="15" t="inlineStr">
        <is>
          <t>White Friday teaser</t>
        </is>
      </c>
      <c r="M93" s="16" t="inlineStr">
        <is>
          <t>الجمعة البيضاء جاية… 👀</t>
        </is>
      </c>
      <c r="N93" s="14" t="inlineStr"/>
      <c r="O93" s="14" t="inlineStr"/>
      <c r="P93" s="16" t="inlineStr">
        <is>
          <t>الجمعة البيضاء جاية ٢٧ نوفمبر 👀
ردّ بـ«🤍» ونرسل لك العرض قبل الكل.</t>
        </is>
      </c>
      <c r="Q93" s="14" t="inlineStr">
        <is>
          <t>White Friday is coming on 27 November. Reply with 🤍 and we'll send you the offer first.</t>
        </is>
      </c>
      <c r="R93" s="14" t="inlineStr">
        <is>
          <t>الجمعة البيضاء عروض سفر</t>
        </is>
      </c>
      <c r="S93" s="16" t="inlineStr">
        <is>
          <t>#الجمعة_البيضاء</t>
        </is>
      </c>
      <c r="T93" s="14" t="inlineStr">
        <is>
          <t>Reply 🤍</t>
        </is>
      </c>
      <c r="U93" s="14" t="inlineStr">
        <is>
          <t>Text only.</t>
        </is>
      </c>
      <c r="V93" s="14" t="inlineStr">
        <is>
          <t>Build an early-access list from the replies (DM each one on the day).</t>
        </is>
      </c>
      <c r="W93" s="14" t="inlineStr"/>
      <c r="X93" s="14" t="inlineStr">
        <is>
          <t>Scripted</t>
        </is>
      </c>
      <c r="Y93" s="17" t="n"/>
      <c r="Z93" s="17" t="n"/>
      <c r="AA93" s="17" t="n"/>
      <c r="AB93" s="17" t="n"/>
      <c r="AC93" s="17" t="n"/>
      <c r="AD93" s="17" t="n"/>
      <c r="AE93" s="18">
        <f>IF(OR(Y93="",Y93=0),"",(AA93+AB93+AC93+AD93)/Y93)</f>
        <v/>
      </c>
    </row>
    <row r="94">
      <c r="A94" s="21" t="n">
        <v>93</v>
      </c>
      <c r="B94" s="21" t="inlineStr">
        <is>
          <t>24-X-1900</t>
        </is>
      </c>
      <c r="C94" s="22" t="n">
        <v>46350</v>
      </c>
      <c r="D94" s="21" t="inlineStr">
        <is>
          <t>Tue</t>
        </is>
      </c>
      <c r="E94" s="21" t="inlineStr">
        <is>
          <t>19:00</t>
        </is>
      </c>
      <c r="F94" s="21" t="inlineStr">
        <is>
          <t>X</t>
        </is>
      </c>
      <c r="G94" s="14" t="inlineStr">
        <is>
          <t>Post</t>
        </is>
      </c>
      <c r="H94" s="14" t="inlineStr">
        <is>
          <t>World Horizons</t>
        </is>
      </c>
      <c r="I94" s="14" t="inlineStr">
        <is>
          <t>Global</t>
        </is>
      </c>
      <c r="J94" s="14" t="inlineStr">
        <is>
          <t>Fly For It</t>
        </is>
      </c>
      <c r="K94" s="14" t="inlineStr">
        <is>
          <t>UCL MD5 (24 Nov)</t>
        </is>
      </c>
      <c r="L94" s="15" t="inlineStr">
        <is>
          <t>UCL tonight, and the big one in 2 weeks</t>
        </is>
      </c>
      <c r="M94" s="16" t="inlineStr">
        <is>
          <t>دوري الأبطال الليلة ⚽ والكبيرة بعد أسبوعين</t>
        </is>
      </c>
      <c r="N94" s="14" t="inlineStr"/>
      <c r="O94" s="14" t="inlineStr"/>
      <c r="P94" s="16" t="inlineStr">
        <is>
          <t>دوري الأبطال الليلة: ريال مدريد × آيندهوفن، أرسنال × دورتموند، سيتي × نابولي ⚽
والكبيرة بعد أسبوعين: أرسنال × ريال مدريد في لندن ٩ ديسمبر. باقي وقت تلحق.</t>
        </is>
      </c>
      <c r="Q94" s="14" t="inlineStr">
        <is>
          <t>Champions League tonight: Real Madrid v PSV, Arsenal v Dortmund, City v Napoli. And the big one in two weeks: Arsenal v Real Madrid in London, 9 December. There's still time.</t>
        </is>
      </c>
      <c r="R94" s="14" t="inlineStr">
        <is>
          <t>دوري أبطال أوروبا, ريال مدريد</t>
        </is>
      </c>
      <c r="S94" s="16" t="inlineStr">
        <is>
          <t>#دوري_أبطال_أوروبا</t>
        </is>
      </c>
      <c r="T94" s="14" t="inlineStr">
        <is>
          <t>DM</t>
        </is>
      </c>
      <c r="U94" s="14" t="inlineStr">
        <is>
          <t>Text only.</t>
        </is>
      </c>
      <c r="V94" s="14" t="inlineStr">
        <is>
          <t>Ops to confirm match-trip availability.</t>
        </is>
      </c>
      <c r="W94" s="14" t="inlineStr"/>
      <c r="X94" s="14" t="inlineStr">
        <is>
          <t>Scripted</t>
        </is>
      </c>
      <c r="Y94" s="17" t="n"/>
      <c r="Z94" s="17" t="n"/>
      <c r="AA94" s="17" t="n"/>
      <c r="AB94" s="17" t="n"/>
      <c r="AC94" s="17" t="n"/>
      <c r="AD94" s="17" t="n"/>
      <c r="AE94" s="18">
        <f>IF(OR(Y94="",Y94=0),"",(AA94+AB94+AC94+AD94)/Y94)</f>
        <v/>
      </c>
    </row>
    <row r="95">
      <c r="A95" s="23" t="n">
        <v>94</v>
      </c>
      <c r="B95" s="23" t="inlineStr">
        <is>
          <t>24-LI-0930</t>
        </is>
      </c>
      <c r="C95" s="24" t="n">
        <v>46350</v>
      </c>
      <c r="D95" s="23" t="inlineStr">
        <is>
          <t>Tue</t>
        </is>
      </c>
      <c r="E95" s="23" t="inlineStr">
        <is>
          <t>09:30</t>
        </is>
      </c>
      <c r="F95" s="23" t="inlineStr">
        <is>
          <t>LinkedIn</t>
        </is>
      </c>
      <c r="G95" s="14" t="inlineStr">
        <is>
          <t>Image + post</t>
        </is>
      </c>
      <c r="H95" s="14" t="inlineStr">
        <is>
          <t>Events &amp; Business</t>
        </is>
      </c>
      <c r="I95" s="14" t="inlineStr">
        <is>
          <t>B2B</t>
        </is>
      </c>
      <c r="J95" s="14" t="inlineStr"/>
      <c r="K95" s="14" t="inlineStr">
        <is>
          <t>Evergreen B2B</t>
        </is>
      </c>
      <c r="L95" s="15" t="inlineStr">
        <is>
          <t>Specialist supply: the expert you couldn't find</t>
        </is>
      </c>
      <c r="M95" s="14" t="inlineStr">
        <is>
          <t>The project needed one person. There were four in the region.</t>
        </is>
      </c>
      <c r="N95" s="14" t="inlineStr">
        <is>
          <t>The expert you couldn't find. Found.</t>
        </is>
      </c>
      <c r="O95" s="14" t="inlineStr"/>
      <c r="P95" s="14" t="inlineStr"/>
      <c r="Q95" s="14" t="inlineStr">
        <is>
          <t>A client needed one specialist for a commissioning phase. There were maybe four people in the region with that exact certification, and all were booked.
We found the fifth, cleared the visa and had them on site in 11 days.
Specialist supply is about the network and the paperwork. One without the other doesn't work.
If your 2027 projects have roles you're already worried about, talk to us early.</t>
        </is>
      </c>
      <c r="R95" s="14" t="inlineStr">
        <is>
          <t>specialist recruitment Saudi Arabia, technical specialists KSA</t>
        </is>
      </c>
      <c r="S95" s="14" t="inlineStr">
        <is>
          <t>#SpecialistSupply #Engineering #SaudiArabia #Projects</t>
        </is>
      </c>
      <c r="T95" s="14" t="inlineStr">
        <is>
          <t>Message us</t>
        </is>
      </c>
      <c r="U95" s="14" t="inlineStr">
        <is>
          <t>One image: a minimalist search graphic (5 dots, one lit).</t>
        </is>
      </c>
      <c r="V95" s="14" t="inlineStr">
        <is>
          <t>Use a real case with numbers confirmed by ops.</t>
        </is>
      </c>
      <c r="W95" s="14" t="inlineStr"/>
      <c r="X95" s="14" t="inlineStr">
        <is>
          <t>Scripted</t>
        </is>
      </c>
      <c r="Y95" s="17" t="n"/>
      <c r="Z95" s="17" t="n"/>
      <c r="AA95" s="17" t="n"/>
      <c r="AB95" s="17" t="n"/>
      <c r="AC95" s="17" t="n"/>
      <c r="AD95" s="17" t="n"/>
      <c r="AE95" s="18">
        <f>IF(OR(Y95="",Y95=0),"",(AA95+AB95+AC95+AD95)/Y95)</f>
        <v/>
      </c>
    </row>
    <row r="96">
      <c r="A96" s="12" t="n">
        <v>95</v>
      </c>
      <c r="B96" s="12" t="inlineStr">
        <is>
          <t>25-IG-2030</t>
        </is>
      </c>
      <c r="C96" s="13" t="n">
        <v>46351</v>
      </c>
      <c r="D96" s="12" t="inlineStr">
        <is>
          <t>Wed</t>
        </is>
      </c>
      <c r="E96" s="12" t="inlineStr">
        <is>
          <t>20:30</t>
        </is>
      </c>
      <c r="F96" s="12" t="inlineStr">
        <is>
          <t>Instagram</t>
        </is>
      </c>
      <c r="G96" s="14" t="inlineStr">
        <is>
          <t>Static 4:5</t>
        </is>
      </c>
      <c r="H96" s="14" t="inlineStr">
        <is>
          <t>Moments &amp; Offers</t>
        </is>
      </c>
      <c r="I96" s="14" t="inlineStr">
        <is>
          <t>All</t>
        </is>
      </c>
      <c r="J96" s="14" t="inlineStr"/>
      <c r="K96" s="14" t="inlineStr">
        <is>
          <t>White Friday countdown</t>
        </is>
      </c>
      <c r="L96" s="15" t="inlineStr">
        <is>
          <t>White Friday: 2 days</t>
        </is>
      </c>
      <c r="M96" s="14" t="inlineStr">
        <is>
          <t>2 days.</t>
        </is>
      </c>
      <c r="N96" s="14" t="inlineStr">
        <is>
          <t>White Friday · 2 days</t>
        </is>
      </c>
      <c r="O96" s="16" t="inlineStr">
        <is>
          <t>الجمعة البيضاء · باقي يومين</t>
        </is>
      </c>
      <c r="P96" s="16" t="inlineStr">
        <is>
          <t>باقي يومين 🤍
فعّل التنبيهات عشان ما يفوتك.</t>
        </is>
      </c>
      <c r="Q96" s="14" t="inlineStr">
        <is>
          <t>Two days. Turn on notifications so you don't miss it.</t>
        </is>
      </c>
      <c r="R96" s="14" t="inlineStr">
        <is>
          <t>الجمعة البيضاء</t>
        </is>
      </c>
      <c r="S96" s="16" t="inlineStr">
        <is>
          <t>#الجمعة_البيضاء #عروض_سفر #مادا #MadaTrips #الرياض</t>
        </is>
      </c>
      <c r="T96" s="14" t="inlineStr">
        <is>
          <t>Turn on notifications</t>
        </is>
      </c>
      <c r="U96" s="14" t="inlineStr">
        <is>
          <t>Minimal: a big '2' in white on green, a soft sand texture. Story version with a countdown sticker (people can tap 'remind me').</t>
        </is>
      </c>
      <c r="V96" s="14" t="inlineStr"/>
      <c r="W96" s="14" t="inlineStr"/>
      <c r="X96" s="14" t="inlineStr">
        <is>
          <t>Scripted</t>
        </is>
      </c>
      <c r="Y96" s="17" t="n"/>
      <c r="Z96" s="17" t="n"/>
      <c r="AA96" s="17" t="n"/>
      <c r="AB96" s="17" t="n"/>
      <c r="AC96" s="17" t="n"/>
      <c r="AD96" s="17" t="n"/>
      <c r="AE96" s="18">
        <f>IF(OR(Y96="",Y96=0),"",(AA96+AB96+AC96+AD96)/Y96)</f>
        <v/>
      </c>
    </row>
    <row r="97">
      <c r="A97" s="12" t="n">
        <v>96</v>
      </c>
      <c r="B97" s="12" t="inlineStr">
        <is>
          <t>25-IG-2130</t>
        </is>
      </c>
      <c r="C97" s="13" t="n">
        <v>46351</v>
      </c>
      <c r="D97" s="12" t="inlineStr">
        <is>
          <t>Wed</t>
        </is>
      </c>
      <c r="E97" s="12" t="inlineStr">
        <is>
          <t>21:30</t>
        </is>
      </c>
      <c r="F97" s="12" t="inlineStr">
        <is>
          <t>Instagram</t>
        </is>
      </c>
      <c r="G97" s="14" t="inlineStr">
        <is>
          <t>Reel 30s</t>
        </is>
      </c>
      <c r="H97" s="14" t="inlineStr">
        <is>
          <t>World Horizons</t>
        </is>
      </c>
      <c r="I97" s="14" t="inlineStr">
        <is>
          <t>Global</t>
        </is>
      </c>
      <c r="J97" s="14" t="inlineStr">
        <is>
          <t>Fly For It</t>
        </is>
      </c>
      <c r="K97" s="14" t="inlineStr">
        <is>
          <t>Shakira at the Pyramids (28 Nov)</t>
        </is>
      </c>
      <c r="L97" s="15" t="inlineStr">
        <is>
          <t>Fly For It: Shakira at the Pyramids + Cairo in 48h</t>
        </is>
      </c>
      <c r="M97" s="14" t="inlineStr">
        <is>
          <t>Pyramids at golden hour, a crowd roar, text: 'Saturday. The Pyramids. Shakira.'</t>
        </is>
      </c>
      <c r="N97" s="14" t="inlineStr">
        <is>
          <t>Shakira · the Pyramids · 28 Nov</t>
        </is>
      </c>
      <c r="O97" s="16" t="inlineStr">
        <is>
          <t>شاكيرا · الأهرامات · ٢٨ نوفمبر</t>
        </is>
      </c>
      <c r="P97" s="16" t="inlineStr">
        <is>
          <t>حفلة عند الأهرامات 🇪🇬 شاكيرا، السبت ٢٨ نوفمبر، والقاهرة على بعد ساعتين ونص.
خلها ٤٨ ساعة: الحفلة + المتحف المصري الكبير + عشاء على النيل.
أرسل «القاهرة» على الواتساب.</t>
        </is>
      </c>
      <c r="Q97" s="14" t="inlineStr">
        <is>
          <t>A concert at the Pyramids: Shakira, Saturday 28 November, and Cairo is 2.5 hours away. Make it 48 hours: the show + the Grand Egyptian Museum + dinner on the Nile. Send 'Cairo' on WhatsApp.</t>
        </is>
      </c>
      <c r="R97" s="14" t="inlineStr">
        <is>
          <t>حفلة شاكيرا الاهرامات, القاهرة ويكند, المتحف المصري الكبير</t>
        </is>
      </c>
      <c r="S97" s="16" t="inlineStr">
        <is>
          <t>#القاهرة #مصر #الأهرامات #ويكند #مادا</t>
        </is>
      </c>
      <c r="T97" s="14" t="inlineStr">
        <is>
          <t>WhatsApp 'القاهرة'</t>
        </is>
      </c>
      <c r="U97" s="14" t="inlineStr">
        <is>
          <t>48-hour itinerary reel: arrival, the Grand Egyptian Museum, Nile dinner, the Pyramids at night (stage lights from a distance). No artist imagery or concert footage (rights).</t>
        </is>
      </c>
      <c r="V97" s="14" t="inlineStr">
        <is>
          <t>Confirm the concert is going ahead and ticket availability. No artist photos.</t>
        </is>
      </c>
      <c r="W97" s="14" t="inlineStr"/>
      <c r="X97" s="14" t="inlineStr">
        <is>
          <t>Scripted</t>
        </is>
      </c>
      <c r="Y97" s="17" t="n"/>
      <c r="Z97" s="17" t="n"/>
      <c r="AA97" s="17" t="n"/>
      <c r="AB97" s="17" t="n"/>
      <c r="AC97" s="17" t="n"/>
      <c r="AD97" s="17" t="n"/>
      <c r="AE97" s="18">
        <f>IF(OR(Y97="",Y97=0),"",(AA97+AB97+AC97+AD97)/Y97)</f>
        <v/>
      </c>
    </row>
    <row r="98">
      <c r="A98" s="19" t="n">
        <v>97</v>
      </c>
      <c r="B98" s="19" t="inlineStr">
        <is>
          <t>25-TT-2100</t>
        </is>
      </c>
      <c r="C98" s="20" t="n">
        <v>46351</v>
      </c>
      <c r="D98" s="19" t="inlineStr">
        <is>
          <t>Wed</t>
        </is>
      </c>
      <c r="E98" s="19" t="inlineStr">
        <is>
          <t>21:00</t>
        </is>
      </c>
      <c r="F98" s="19" t="inlineStr">
        <is>
          <t>TikTok</t>
        </is>
      </c>
      <c r="G98" s="14" t="inlineStr">
        <is>
          <t>Video 40s</t>
        </is>
      </c>
      <c r="H98" s="14" t="inlineStr">
        <is>
          <t>Know Before You Go</t>
        </is>
      </c>
      <c r="I98" s="14" t="inlineStr">
        <is>
          <t>Global</t>
        </is>
      </c>
      <c r="J98" s="14" t="inlineStr"/>
      <c r="K98" s="14" t="inlineStr">
        <is>
          <t>Evergreen</t>
        </is>
      </c>
      <c r="L98" s="15" t="inlineStr">
        <is>
          <t>Travel myths: real or fake?</t>
        </is>
      </c>
      <c r="M98" s="16" t="inlineStr">
        <is>
          <t>On-screen: الحجز يوم الثلاثاء أرخص؟ 🤔 حقيقة ولا خرافة</t>
        </is>
      </c>
      <c r="N98" s="14" t="inlineStr">
        <is>
          <t>Travel myths: real or fake?</t>
        </is>
      </c>
      <c r="O98" s="16" t="inlineStr">
        <is>
          <t>خرافات السفر: حقيقة ولا لا؟</t>
        </is>
      </c>
      <c r="P98" s="16" t="inlineStr">
        <is>
          <t>٥ خرافات عن حجز السفر… كم وحدة كنت مصدقها؟ 😅</t>
        </is>
      </c>
      <c r="Q98" s="14" t="inlineStr">
        <is>
          <t>5 myths about booking travel. How many did you believe?</t>
        </is>
      </c>
      <c r="R98" s="14" t="inlineStr">
        <is>
          <t>نصائح حجز طيران, ارخص وقت للحجز</t>
        </is>
      </c>
      <c r="S98" s="16" t="inlineStr">
        <is>
          <t>#نصائح_سفر #سفر #حجز_طيران #السعودية #مادا</t>
        </is>
      </c>
      <c r="T98" s="14" t="inlineStr">
        <is>
          <t>Comment your score /5</t>
        </is>
      </c>
      <c r="U98" s="14" t="inlineStr">
        <is>
          <t>Green-screen myth-busting with a ✅/❌ stamp: Tuesday booking, incognito mode, 'last minute is always cheaper', 'refundable is never worth it', 'one-way is always pricier'. Give the honest nuance.</t>
        </is>
      </c>
      <c r="V98" s="14" t="inlineStr"/>
      <c r="W98" s="14" t="inlineStr"/>
      <c r="X98" s="14" t="inlineStr">
        <is>
          <t>Scripted</t>
        </is>
      </c>
      <c r="Y98" s="17" t="n"/>
      <c r="Z98" s="17" t="n"/>
      <c r="AA98" s="17" t="n"/>
      <c r="AB98" s="17" t="n"/>
      <c r="AC98" s="17" t="n"/>
      <c r="AD98" s="17" t="n"/>
      <c r="AE98" s="18">
        <f>IF(OR(Y98="",Y98=0),"",(AA98+AB98+AC98+AD98)/Y98)</f>
        <v/>
      </c>
    </row>
    <row r="99">
      <c r="A99" s="21" t="n">
        <v>98</v>
      </c>
      <c r="B99" s="21" t="inlineStr">
        <is>
          <t>25-X-1300</t>
        </is>
      </c>
      <c r="C99" s="22" t="n">
        <v>46351</v>
      </c>
      <c r="D99" s="21" t="inlineStr">
        <is>
          <t>Wed</t>
        </is>
      </c>
      <c r="E99" s="21" t="inlineStr">
        <is>
          <t>13:00</t>
        </is>
      </c>
      <c r="F99" s="21" t="inlineStr">
        <is>
          <t>X</t>
        </is>
      </c>
      <c r="G99" s="14" t="inlineStr">
        <is>
          <t>Thread 5</t>
        </is>
      </c>
      <c r="H99" s="14" t="inlineStr">
        <is>
          <t>Know Before You Go</t>
        </is>
      </c>
      <c r="I99" s="14" t="inlineStr">
        <is>
          <t>Global</t>
        </is>
      </c>
      <c r="J99" s="14" t="inlineStr"/>
      <c r="K99" s="14" t="inlineStr">
        <is>
          <t>Evergreen</t>
        </is>
      </c>
      <c r="L99" s="15" t="inlineStr">
        <is>
          <t>Booking myths thread</t>
        </is>
      </c>
      <c r="M99" s="16" t="inlineStr">
        <is>
          <t>٥ خرافات عن حجز الطيران 🧵</t>
        </is>
      </c>
      <c r="N99" s="14" t="inlineStr"/>
      <c r="O99" s="14" t="inlineStr"/>
      <c r="P99" s="16" t="inlineStr">
        <is>
          <t>١/ ٥ خرافات عن حجز الطيران 🧵
٢/ «الثلاثاء أرخص»: الأسعار تتغير حسب الطلب، مو حسب اليوم.
٣/ «التصفح الخفي يرخص السعر»: ما فيه دليل قوي.
٤/ «آخر لحظة دايم أرخص»: بمواسم الإجازات العكس غالباً.
٥/ «المرن ما يستاهل»: إذا عندك اجتماع ثابت، يستاهل.</t>
        </is>
      </c>
      <c r="Q99" s="14" t="inlineStr">
        <is>
          <t>1/ 5 myths about booking flights. 2/ 'Tuesday is cheaper': prices move with demand, not the day. 3/ 'Incognito lowers prices': no solid evidence. 4/ 'Last minute is always cheaper': in holiday peaks it's usually the opposite. 5/ 'Flexible isn't worth it': with a fixed meeting, it is.</t>
        </is>
      </c>
      <c r="R99" s="14" t="inlineStr">
        <is>
          <t>نصائح حجز طيران</t>
        </is>
      </c>
      <c r="S99" s="16" t="inlineStr">
        <is>
          <t>#نصائح_سفر</t>
        </is>
      </c>
      <c r="T99" s="14" t="inlineStr">
        <is>
          <t>Bookmark</t>
        </is>
      </c>
      <c r="U99" s="14" t="inlineStr">
        <is>
          <t>Text thread.</t>
        </is>
      </c>
      <c r="V99" s="14" t="inlineStr"/>
      <c r="W99" s="14" t="inlineStr"/>
      <c r="X99" s="14" t="inlineStr">
        <is>
          <t>Scripted</t>
        </is>
      </c>
      <c r="Y99" s="17" t="n"/>
      <c r="Z99" s="17" t="n"/>
      <c r="AA99" s="17" t="n"/>
      <c r="AB99" s="17" t="n"/>
      <c r="AC99" s="17" t="n"/>
      <c r="AD99" s="17" t="n"/>
      <c r="AE99" s="18">
        <f>IF(OR(Y99="",Y99=0),"",(AA99+AB99+AC99+AD99)/Y99)</f>
        <v/>
      </c>
    </row>
    <row r="100">
      <c r="A100" s="23" t="n">
        <v>99</v>
      </c>
      <c r="B100" s="23" t="inlineStr">
        <is>
          <t>25-LI-0930</t>
        </is>
      </c>
      <c r="C100" s="24" t="n">
        <v>46351</v>
      </c>
      <c r="D100" s="23" t="inlineStr">
        <is>
          <t>Wed</t>
        </is>
      </c>
      <c r="E100" s="23" t="inlineStr">
        <is>
          <t>09:30</t>
        </is>
      </c>
      <c r="F100" s="23" t="inlineStr">
        <is>
          <t>LinkedIn</t>
        </is>
      </c>
      <c r="G100" s="14" t="inlineStr">
        <is>
          <t>Post + image</t>
        </is>
      </c>
      <c r="H100" s="14" t="inlineStr">
        <is>
          <t>Events &amp; Business</t>
        </is>
      </c>
      <c r="I100" s="14" t="inlineStr">
        <is>
          <t>GCC</t>
        </is>
      </c>
      <c r="J100" s="14" t="inlineStr"/>
      <c r="K100" s="14" t="inlineStr">
        <is>
          <t>GITEX Global 8-11 Dec</t>
        </is>
      </c>
      <c r="L100" s="15" t="inlineStr">
        <is>
          <t>GITEX Global at Expo City Dubai: team travel brief</t>
        </is>
      </c>
      <c r="M100" s="14" t="inlineStr">
        <is>
          <t>GITEX moves to Expo City Dubai this year. Your team's travel plan should move with it.</t>
        </is>
      </c>
      <c r="N100" s="14" t="inlineStr">
        <is>
          <t>GITEX Global 2026 · team brief</t>
        </is>
      </c>
      <c r="O100" s="14" t="inlineStr"/>
      <c r="P100" s="14" t="inlineStr"/>
      <c r="Q100" s="14" t="inlineStr">
        <is>
          <t>GITEX Global runs 8-11 December, for the first time at Expo City Dubai.
If you're sending a team from Riyadh, our brief:
• Expo City is far from Downtown and the Marina, so stay close or plan transfers by session
• Book rooms now. GITEX week fills Dubai
• Arrive the day before. Registration queues on day 1 are long
• One WhatsApp line for the whole team, from flights to dinners
We're arranging delegations for GITEX now. Message us if you want yours handled.</t>
        </is>
      </c>
      <c r="R100" s="14" t="inlineStr">
        <is>
          <t>GITEX Global 2026 travel, corporate travel Dubai, business delegation Dubai</t>
        </is>
      </c>
      <c r="S100" s="14" t="inlineStr">
        <is>
          <t>#GITEX #Dubai #BusinessTravel #Tech</t>
        </is>
      </c>
      <c r="T100" s="14" t="inlineStr">
        <is>
          <t>Message us</t>
        </is>
      </c>
      <c r="U100" s="14" t="inlineStr">
        <is>
          <t>One image: a route graphic RUH → DXB → Expo City.</t>
        </is>
      </c>
      <c r="V100" s="14" t="inlineStr"/>
      <c r="W100" s="14" t="inlineStr"/>
      <c r="X100" s="14" t="inlineStr">
        <is>
          <t>Scripted</t>
        </is>
      </c>
      <c r="Y100" s="17" t="n"/>
      <c r="Z100" s="17" t="n"/>
      <c r="AA100" s="17" t="n"/>
      <c r="AB100" s="17" t="n"/>
      <c r="AC100" s="17" t="n"/>
      <c r="AD100" s="17" t="n"/>
      <c r="AE100" s="18">
        <f>IF(OR(Y100="",Y100=0),"",(AA100+AB100+AC100+AD100)/Y100)</f>
        <v/>
      </c>
    </row>
    <row r="101">
      <c r="A101" s="12" t="n">
        <v>100</v>
      </c>
      <c r="B101" s="12" t="inlineStr">
        <is>
          <t>26-IG-1930</t>
        </is>
      </c>
      <c r="C101" s="13" t="n">
        <v>46352</v>
      </c>
      <c r="D101" s="12" t="inlineStr">
        <is>
          <t>Thu</t>
        </is>
      </c>
      <c r="E101" s="12" t="inlineStr">
        <is>
          <t>19:30</t>
        </is>
      </c>
      <c r="F101" s="12" t="inlineStr">
        <is>
          <t>Instagram</t>
        </is>
      </c>
      <c r="G101" s="14" t="inlineStr">
        <is>
          <t>Carousel 7</t>
        </is>
      </c>
      <c r="H101" s="14" t="inlineStr">
        <is>
          <t>Saudi &amp; Gulf Horizons</t>
        </is>
      </c>
      <c r="I101" s="14" t="inlineStr">
        <is>
          <t>Mixed</t>
        </is>
      </c>
      <c r="J101" s="14" t="inlineStr">
        <is>
          <t>Weekend Radar</t>
        </is>
      </c>
      <c r="K101" s="14" t="inlineStr">
        <is>
          <t>F1 Qatar 27-29 Nov · White Friday</t>
        </is>
      </c>
      <c r="L101" s="15" t="inlineStr">
        <is>
          <t>Weekend Radar #4</t>
        </is>
      </c>
      <c r="M101" s="14" t="inlineStr">
        <is>
          <t>Slide 1: Weekend Radar · 26-28 Nov</t>
        </is>
      </c>
      <c r="N101" s="14" t="inlineStr">
        <is>
          <t>Weekend Radar · 26-28 Nov</t>
        </is>
      </c>
      <c r="O101" s="16" t="inlineStr">
        <is>
          <t>رادار الويكند · ٢٦–٢٨ نوفمبر</t>
        </is>
      </c>
      <c r="P101" s="16" t="inlineStr">
        <is>
          <t>رادار الويكند 📡
• الجمعة: الجمعة البيضاء 🤍
• الدوحة: جائزة قطر للفورمولا ١ (٢٧–٢٩)
• ستراسبورغ: سوق الشتاء يفتح اليوم
• آخر ويكند بالإجازة: موسم الرياض والكشتة</t>
        </is>
      </c>
      <c r="Q101" s="14" t="inlineStr">
        <is>
          <t>Weekend Radar: White Friday, the F1 Qatar Grand Prix (27-29), Strasbourg's winter market opens today, and the last weekend of the break.</t>
        </is>
      </c>
      <c r="R101" s="14" t="inlineStr">
        <is>
          <t>فعاليات الويكند, F1 Qatar 2026</t>
        </is>
      </c>
      <c r="S101" s="16" t="inlineStr">
        <is>
          <t>#رادار_الويكند #موسم_الرياض #فورمولا1 #الرياض #مادا</t>
        </is>
      </c>
      <c r="T101" s="14" t="inlineStr">
        <is>
          <t>Save + share</t>
        </is>
      </c>
      <c r="U101" s="14" t="inlineStr">
        <is>
          <t>Weekend Radar template.</t>
        </is>
      </c>
      <c r="V101" s="14" t="inlineStr">
        <is>
          <t>Check F1 Qatar is going ahead (regional uncertainty reported).</t>
        </is>
      </c>
      <c r="W101" s="14" t="inlineStr"/>
      <c r="X101" s="14" t="inlineStr">
        <is>
          <t>Scripted</t>
        </is>
      </c>
      <c r="Y101" s="17" t="n"/>
      <c r="Z101" s="17" t="n"/>
      <c r="AA101" s="17" t="n"/>
      <c r="AB101" s="17" t="n"/>
      <c r="AC101" s="17" t="n"/>
      <c r="AD101" s="17" t="n"/>
      <c r="AE101" s="18">
        <f>IF(OR(Y101="",Y101=0),"",(AA101+AB101+AC101+AD101)/Y101)</f>
        <v/>
      </c>
    </row>
    <row r="102">
      <c r="A102" s="12" t="n">
        <v>101</v>
      </c>
      <c r="B102" s="12" t="inlineStr">
        <is>
          <t>26-IG-2130</t>
        </is>
      </c>
      <c r="C102" s="13" t="n">
        <v>46352</v>
      </c>
      <c r="D102" s="12" t="inlineStr">
        <is>
          <t>Thu</t>
        </is>
      </c>
      <c r="E102" s="12" t="inlineStr">
        <is>
          <t>21:30</t>
        </is>
      </c>
      <c r="F102" s="12" t="inlineStr">
        <is>
          <t>Instagram</t>
        </is>
      </c>
      <c r="G102" s="14" t="inlineStr">
        <is>
          <t>Reel 20s</t>
        </is>
      </c>
      <c r="H102" s="14" t="inlineStr">
        <is>
          <t>Moments &amp; Offers</t>
        </is>
      </c>
      <c r="I102" s="14" t="inlineStr">
        <is>
          <t>All</t>
        </is>
      </c>
      <c r="J102" s="14" t="inlineStr"/>
      <c r="K102" s="14" t="inlineStr">
        <is>
          <t>White Friday eve</t>
        </is>
      </c>
      <c r="L102" s="15" t="inlineStr">
        <is>
          <t>White Friday tomorrow: how it works</t>
        </is>
      </c>
      <c r="M102" s="14" t="inlineStr">
        <is>
          <t>On-screen: Tomorrow. Here's how it works.</t>
        </is>
      </c>
      <c r="N102" s="14" t="inlineStr">
        <is>
          <t>White Friday · tomorrow</t>
        </is>
      </c>
      <c r="O102" s="16" t="inlineStr">
        <is>
          <t>الجمعة البيضاء · بكرة</t>
        </is>
      </c>
      <c r="P102" s="16" t="inlineStr">
        <is>
          <t>بكرة الجمعة البيضاء 🤍 كيف تستفيد:
١ فعّل التنبيه ٢ جهز وجهتك وتواريخك ٣ أرسل «🤍» على الواتساب أول ما يبدأ.</t>
        </is>
      </c>
      <c r="Q102" s="14" t="inlineStr">
        <is>
          <t>White Friday is tomorrow. Turn on notifications, have your destination and dates ready, and send 🤍 on WhatsApp when it starts.</t>
        </is>
      </c>
      <c r="R102" s="14" t="inlineStr">
        <is>
          <t>عروض الجمعة البيضاء سفر</t>
        </is>
      </c>
      <c r="S102" s="16" t="inlineStr">
        <is>
          <t>#الجمعة_البيضاء #عروض_سفر #مادا #سفر #الرياض</t>
        </is>
      </c>
      <c r="T102" s="14" t="inlineStr">
        <is>
          <t>Turn on notifications</t>
        </is>
      </c>
      <c r="U102" s="14" t="inlineStr">
        <is>
          <t>Three-step explainer with a phone-screen mockup. A simple loop.</t>
        </is>
      </c>
      <c r="V102" s="14" t="inlineStr"/>
      <c r="W102" s="14" t="inlineStr"/>
      <c r="X102" s="14" t="inlineStr">
        <is>
          <t>Scripted</t>
        </is>
      </c>
      <c r="Y102" s="17" t="n"/>
      <c r="Z102" s="17" t="n"/>
      <c r="AA102" s="17" t="n"/>
      <c r="AB102" s="17" t="n"/>
      <c r="AC102" s="17" t="n"/>
      <c r="AD102" s="17" t="n"/>
      <c r="AE102" s="18">
        <f>IF(OR(Y102="",Y102=0),"",(AA102+AB102+AC102+AD102)/Y102)</f>
        <v/>
      </c>
    </row>
    <row r="103">
      <c r="A103" s="19" t="n">
        <v>102</v>
      </c>
      <c r="B103" s="19" t="inlineStr">
        <is>
          <t>26-TT-2000</t>
        </is>
      </c>
      <c r="C103" s="20" t="n">
        <v>46352</v>
      </c>
      <c r="D103" s="19" t="inlineStr">
        <is>
          <t>Thu</t>
        </is>
      </c>
      <c r="E103" s="19" t="inlineStr">
        <is>
          <t>20:00</t>
        </is>
      </c>
      <c r="F103" s="19" t="inlineStr">
        <is>
          <t>TikTok</t>
        </is>
      </c>
      <c r="G103" s="14" t="inlineStr">
        <is>
          <t>Video 30s</t>
        </is>
      </c>
      <c r="H103" s="14" t="inlineStr">
        <is>
          <t>World Horizons</t>
        </is>
      </c>
      <c r="I103" s="14" t="inlineStr">
        <is>
          <t>GCC</t>
        </is>
      </c>
      <c r="J103" s="14" t="inlineStr"/>
      <c r="K103" s="14" t="inlineStr">
        <is>
          <t>F1 Qatar GP 27-29 Nov</t>
        </is>
      </c>
      <c r="L103" s="15" t="inlineStr">
        <is>
          <t>F1 Qatar weekend: Riyadh to Doha</t>
        </is>
      </c>
      <c r="M103" s="16" t="inlineStr">
        <is>
          <t>On-screen: أقل من ساعتين من الرياض… وأنت بالفورمولا ١ 🏎️</t>
        </is>
      </c>
      <c r="N103" s="14" t="inlineStr">
        <is>
          <t>Under 2 hours to F1</t>
        </is>
      </c>
      <c r="O103" s="16" t="inlineStr">
        <is>
          <t>أقل من ساعتين… وأنت بالفورمولا ١</t>
        </is>
      </c>
      <c r="P103" s="16" t="inlineStr">
        <is>
          <t>جائزة قطر الكبرى للفورمولا ١ هالويكند 🏎️ أقل من ساعتين طيران من الرياض. تلحق؟</t>
        </is>
      </c>
      <c r="Q103" s="14" t="inlineStr">
        <is>
          <t>The F1 Qatar Grand Prix is this weekend, under 2 hours' flight from Riyadh. Can you make it?</t>
        </is>
      </c>
      <c r="R103" s="14" t="inlineStr">
        <is>
          <t>فورمولا ١ قطر, F1 Qatar 2026 tickets, لوسيل</t>
        </is>
      </c>
      <c r="S103" s="16" t="inlineStr">
        <is>
          <t>#فورمولا1 #قطر #F1 #سفر #مادا</t>
        </is>
      </c>
      <c r="T103" s="14" t="inlineStr">
        <is>
          <t>Comment 'ألحق'</t>
        </is>
      </c>
      <c r="U103" s="14" t="inlineStr">
        <is>
          <t>Countdown energy, a flight-path animation RUH → DOH, a quick package outline (flight, hotel, grandstand, transfers). No F1 broadcast footage.</t>
        </is>
      </c>
      <c r="V103" s="14" t="inlineStr">
        <is>
          <t>Confirm the race status and ticket availability before posting. No F1 logos.</t>
        </is>
      </c>
      <c r="W103" s="14" t="inlineStr"/>
      <c r="X103" s="14" t="inlineStr">
        <is>
          <t>Scripted</t>
        </is>
      </c>
      <c r="Y103" s="17" t="n"/>
      <c r="Z103" s="17" t="n"/>
      <c r="AA103" s="17" t="n"/>
      <c r="AB103" s="17" t="n"/>
      <c r="AC103" s="17" t="n"/>
      <c r="AD103" s="17" t="n"/>
      <c r="AE103" s="18">
        <f>IF(OR(Y103="",Y103=0),"",(AA103+AB103+AC103+AD103)/Y103)</f>
        <v/>
      </c>
    </row>
    <row r="104">
      <c r="A104" s="19" t="n">
        <v>103</v>
      </c>
      <c r="B104" s="19" t="inlineStr">
        <is>
          <t>26-TT-2200</t>
        </is>
      </c>
      <c r="C104" s="20" t="n">
        <v>46352</v>
      </c>
      <c r="D104" s="19" t="inlineStr">
        <is>
          <t>Thu</t>
        </is>
      </c>
      <c r="E104" s="19" t="inlineStr">
        <is>
          <t>22:00</t>
        </is>
      </c>
      <c r="F104" s="19" t="inlineStr">
        <is>
          <t>TikTok</t>
        </is>
      </c>
      <c r="G104" s="14" t="inlineStr">
        <is>
          <t>Video 20s</t>
        </is>
      </c>
      <c r="H104" s="14" t="inlineStr">
        <is>
          <t>Moments &amp; Offers</t>
        </is>
      </c>
      <c r="I104" s="14" t="inlineStr">
        <is>
          <t>All</t>
        </is>
      </c>
      <c r="J104" s="14" t="inlineStr"/>
      <c r="K104" s="14" t="inlineStr">
        <is>
          <t>White Friday eve</t>
        </is>
      </c>
      <c r="L104" s="15" t="inlineStr">
        <is>
          <t>White Friday preview</t>
        </is>
      </c>
      <c r="M104" s="16" t="inlineStr">
        <is>
          <t>On-screen: عرض بكرة… تلميح 👀</t>
        </is>
      </c>
      <c r="N104" s="14" t="inlineStr">
        <is>
          <t>A hint for tomorrow</t>
        </is>
      </c>
      <c r="O104" s="16" t="inlineStr">
        <is>
          <t>تلميح لعرض بكرة</t>
        </is>
      </c>
      <c r="P104" s="16" t="inlineStr">
        <is>
          <t>تلميح لعرض بكرة 👀 خمّن الوجهة.</t>
        </is>
      </c>
      <c r="Q104" s="14" t="inlineStr">
        <is>
          <t>A hint for tomorrow's offer. Guess the destination.</t>
        </is>
      </c>
      <c r="R104" s="14" t="inlineStr">
        <is>
          <t>عروض الجمعة البيضاء</t>
        </is>
      </c>
      <c r="S104" s="16" t="inlineStr">
        <is>
          <t>#الجمعة_البيضاء #عروض_سفر #سفر #السعودية #مادا</t>
        </is>
      </c>
      <c r="T104" s="14" t="inlineStr">
        <is>
          <t>Guess in comments</t>
        </is>
      </c>
      <c r="U104" s="14" t="inlineStr">
        <is>
          <t>Blurred destination reveal with sound cues (waves? snow?). The comment guessing game boosts reach.</t>
        </is>
      </c>
      <c r="V104" s="14" t="inlineStr"/>
      <c r="W104" s="14" t="inlineStr"/>
      <c r="X104" s="14" t="inlineStr">
        <is>
          <t>Scripted</t>
        </is>
      </c>
      <c r="Y104" s="17" t="n"/>
      <c r="Z104" s="17" t="n"/>
      <c r="AA104" s="17" t="n"/>
      <c r="AB104" s="17" t="n"/>
      <c r="AC104" s="17" t="n"/>
      <c r="AD104" s="17" t="n"/>
      <c r="AE104" s="18">
        <f>IF(OR(Y104="",Y104=0),"",(AA104+AB104+AC104+AD104)/Y104)</f>
        <v/>
      </c>
    </row>
    <row r="105">
      <c r="A105" s="21" t="n">
        <v>104</v>
      </c>
      <c r="B105" s="21" t="inlineStr">
        <is>
          <t>26-X-1300</t>
        </is>
      </c>
      <c r="C105" s="22" t="n">
        <v>46352</v>
      </c>
      <c r="D105" s="21" t="inlineStr">
        <is>
          <t>Thu</t>
        </is>
      </c>
      <c r="E105" s="21" t="inlineStr">
        <is>
          <t>13:00</t>
        </is>
      </c>
      <c r="F105" s="21" t="inlineStr">
        <is>
          <t>X</t>
        </is>
      </c>
      <c r="G105" s="14" t="inlineStr">
        <is>
          <t>Post</t>
        </is>
      </c>
      <c r="H105" s="14" t="inlineStr">
        <is>
          <t>Moments &amp; Offers</t>
        </is>
      </c>
      <c r="I105" s="14" t="inlineStr">
        <is>
          <t>All</t>
        </is>
      </c>
      <c r="J105" s="14" t="inlineStr"/>
      <c r="K105" s="14" t="inlineStr">
        <is>
          <t>White Friday eve</t>
        </is>
      </c>
      <c r="L105" s="15" t="inlineStr">
        <is>
          <t>White Friday rules</t>
        </is>
      </c>
      <c r="M105" s="16" t="inlineStr">
        <is>
          <t>بكرة الجمعة البيضاء 🤍 القوانين بسيطة:</t>
        </is>
      </c>
      <c r="N105" s="14" t="inlineStr"/>
      <c r="O105" s="14" t="inlineStr"/>
      <c r="P105" s="16" t="inlineStr">
        <is>
          <t>بكرة الجمعة البيضاء 🤍 القوانين بسيطة:
• العرض يبدأ ٨ الصباح
• محدود بعدد حجوزات
• بدون أكواد، بس أرسل «🤍» على الواتساب
اللي ردوا بـ🤍 أمس، يوصلكم قبل الكل.</t>
        </is>
      </c>
      <c r="Q105" s="14" t="inlineStr">
        <is>
          <t>White Friday tomorrow. The offer starts at 8 a.m., limited bookings, no codes: just send 🤍 on WhatsApp. Those who replied yesterday get it first.</t>
        </is>
      </c>
      <c r="R105" s="14" t="inlineStr">
        <is>
          <t>الجمعة البيضاء</t>
        </is>
      </c>
      <c r="S105" s="16" t="inlineStr">
        <is>
          <t>#الجمعة_البيضاء</t>
        </is>
      </c>
      <c r="T105" s="14" t="inlineStr">
        <is>
          <t>Turn on notifications</t>
        </is>
      </c>
      <c r="U105" s="14" t="inlineStr">
        <is>
          <t>Text only.</t>
        </is>
      </c>
      <c r="V105" s="14" t="inlineStr">
        <is>
          <t>Final terms from management.</t>
        </is>
      </c>
      <c r="W105" s="14" t="inlineStr"/>
      <c r="X105" s="14" t="inlineStr">
        <is>
          <t>Scripted</t>
        </is>
      </c>
      <c r="Y105" s="17" t="n"/>
      <c r="Z105" s="17" t="n"/>
      <c r="AA105" s="17" t="n"/>
      <c r="AB105" s="17" t="n"/>
      <c r="AC105" s="17" t="n"/>
      <c r="AD105" s="17" t="n"/>
      <c r="AE105" s="18">
        <f>IF(OR(Y105="",Y105=0),"",(AA105+AB105+AC105+AD105)/Y105)</f>
        <v/>
      </c>
    </row>
    <row r="106">
      <c r="A106" s="23" t="n">
        <v>105</v>
      </c>
      <c r="B106" s="23" t="inlineStr">
        <is>
          <t>26-LI-0930</t>
        </is>
      </c>
      <c r="C106" s="24" t="n">
        <v>46352</v>
      </c>
      <c r="D106" s="23" t="inlineStr">
        <is>
          <t>Thu</t>
        </is>
      </c>
      <c r="E106" s="23" t="inlineStr">
        <is>
          <t>09:30</t>
        </is>
      </c>
      <c r="F106" s="23" t="inlineStr">
        <is>
          <t>LinkedIn</t>
        </is>
      </c>
      <c r="G106" s="14" t="inlineStr">
        <is>
          <t>Post</t>
        </is>
      </c>
      <c r="H106" s="14" t="inlineStr">
        <is>
          <t>Events &amp; Business</t>
        </is>
      </c>
      <c r="I106" s="14" t="inlineStr">
        <is>
          <t>B2B</t>
        </is>
      </c>
      <c r="J106" s="14" t="inlineStr"/>
      <c r="K106" s="14" t="inlineStr">
        <is>
          <t>B2B White Friday equivalent</t>
        </is>
      </c>
      <c r="L106" s="15" t="inlineStr">
        <is>
          <t>Plan Q1 2027 events at 2026 rates</t>
        </is>
      </c>
      <c r="M106" s="14" t="inlineStr">
        <is>
          <t>Your Q1 2027 events will be planned in December. Here's an offer for doing it now.</t>
        </is>
      </c>
      <c r="N106" s="14" t="inlineStr">
        <is>
          <t>Q1 2027 events · 2026 rates</t>
        </is>
      </c>
      <c r="O106" s="14" t="inlineStr"/>
      <c r="P106" s="14" t="inlineStr"/>
      <c r="Q106" s="14" t="inlineStr">
        <is>
          <t>Q1 2027 is going to be busy: the Saudi Cup in early February, then Ramadan from around 8 February.
If you're planning Q1 delegations, offsites or launches, confirm by 10 December and we'll hold 2026 service rates across travel, hotels and event production.
One brief, one plan, one invoice.</t>
        </is>
      </c>
      <c r="R106" s="14" t="inlineStr">
        <is>
          <t>event planning Q1 2027 Riyadh, corporate offsite Saudi Arabia</t>
        </is>
      </c>
      <c r="S106" s="14" t="inlineStr">
        <is>
          <t>#EventPlanning #Riyadh #CorporateEvents #MICE</t>
        </is>
      </c>
      <c r="T106" s="14" t="inlineStr">
        <is>
          <t>DM / email</t>
        </is>
      </c>
      <c r="U106" s="14" t="inlineStr">
        <is>
          <t>Text post + a simple Q1 timeline image (Saudi Cup 5-6 Feb, Ramadan ~8 Feb).</t>
        </is>
      </c>
      <c r="V106" s="25" t="inlineStr">
        <is>
          <t>OFFER needs management approval.</t>
        </is>
      </c>
      <c r="W106" s="14" t="inlineStr"/>
      <c r="X106" s="14" t="inlineStr">
        <is>
          <t>Scripted</t>
        </is>
      </c>
      <c r="Y106" s="17" t="n"/>
      <c r="Z106" s="17" t="n"/>
      <c r="AA106" s="17" t="n"/>
      <c r="AB106" s="17" t="n"/>
      <c r="AC106" s="17" t="n"/>
      <c r="AD106" s="17" t="n"/>
      <c r="AE106" s="18">
        <f>IF(OR(Y106="",Y106=0),"",(AA106+AB106+AC106+AD106)/Y106)</f>
        <v/>
      </c>
    </row>
    <row r="107">
      <c r="A107" s="12" t="n">
        <v>106</v>
      </c>
      <c r="B107" s="12" t="inlineStr">
        <is>
          <t>27-IG-0800</t>
        </is>
      </c>
      <c r="C107" s="13" t="n">
        <v>46353</v>
      </c>
      <c r="D107" s="12" t="inlineStr">
        <is>
          <t>Fri</t>
        </is>
      </c>
      <c r="E107" s="12" t="inlineStr">
        <is>
          <t>08:00</t>
        </is>
      </c>
      <c r="F107" s="12" t="inlineStr">
        <is>
          <t>Instagram</t>
        </is>
      </c>
      <c r="G107" s="14" t="inlineStr">
        <is>
          <t>Carousel 5</t>
        </is>
      </c>
      <c r="H107" s="14" t="inlineStr">
        <is>
          <t>Moments &amp; Offers</t>
        </is>
      </c>
      <c r="I107" s="14" t="inlineStr">
        <is>
          <t>All</t>
        </is>
      </c>
      <c r="J107" s="14" t="inlineStr"/>
      <c r="K107" s="14" t="inlineStr">
        <is>
          <t>White Friday 27 Nov</t>
        </is>
      </c>
      <c r="L107" s="15" t="inlineStr">
        <is>
          <t>White Friday: the offer</t>
        </is>
      </c>
      <c r="M107" s="14" t="inlineStr">
        <is>
          <t>Slide 1: White Friday is on.</t>
        </is>
      </c>
      <c r="N107" s="14" t="inlineStr">
        <is>
          <t>White Friday · Today only</t>
        </is>
      </c>
      <c r="O107" s="16" t="inlineStr">
        <is>
          <t>الجمعة البيضاء · اليوم فقط</t>
        </is>
      </c>
      <c r="P107" s="16" t="inlineStr">
        <is>
          <t>الجمعة البيضاء بدأت 🤍
[تفاصيل العرض]
اليوم فقط، والعدد محدود. أرسل «🤍» على الواتساب ‎+966 56 668 2662</t>
        </is>
      </c>
      <c r="Q107" s="14" t="inlineStr">
        <is>
          <t>White Friday is on. [Offer details]. Today only, limited numbers. Send 🤍 on WhatsApp.</t>
        </is>
      </c>
      <c r="R107" s="14" t="inlineStr">
        <is>
          <t>عروض الجمعة البيضاء, عروض سفر, باقات سياحية</t>
        </is>
      </c>
      <c r="S107" s="16" t="inlineStr">
        <is>
          <t>#الجمعة_البيضاء #عروض_سفر #مادا #MadaTrips #باقات_سياحية</t>
        </is>
      </c>
      <c r="T107" s="14" t="inlineStr">
        <is>
          <t>WhatsApp 🤍</t>
        </is>
      </c>
      <c r="U107" s="14" t="inlineStr">
        <is>
          <t>Hero design: white-on-green, gold accent. Slide 1 offer, slides 2-4 three destination options with what's included (no strike-through 'was/now' unless legally verified), slide 5 terms + CTA.</t>
        </is>
      </c>
      <c r="V107" s="25" t="inlineStr">
        <is>
          <t>MANAGEMENT: final offer, terms and real prices. Lead with a global trip (e.g. Istanbul or Baku for the 8 Jan break), then a GCC hop (Dubai Shopping Festival) and one domestic option. Follow Saudi consumer-protection rules on discount claims (Ministry of Commerce).</t>
        </is>
      </c>
      <c r="W107" s="14" t="inlineStr"/>
      <c r="X107" s="14" t="inlineStr">
        <is>
          <t>Scripted</t>
        </is>
      </c>
      <c r="Y107" s="17" t="n"/>
      <c r="Z107" s="17" t="n"/>
      <c r="AA107" s="17" t="n"/>
      <c r="AB107" s="17" t="n"/>
      <c r="AC107" s="17" t="n"/>
      <c r="AD107" s="17" t="n"/>
      <c r="AE107" s="18">
        <f>IF(OR(Y107="",Y107=0),"",(AA107+AB107+AC107+AD107)/Y107)</f>
        <v/>
      </c>
    </row>
    <row r="108">
      <c r="A108" s="12" t="n">
        <v>107</v>
      </c>
      <c r="B108" s="12" t="inlineStr">
        <is>
          <t>27-IG-2100</t>
        </is>
      </c>
      <c r="C108" s="13" t="n">
        <v>46353</v>
      </c>
      <c r="D108" s="12" t="inlineStr">
        <is>
          <t>Fri</t>
        </is>
      </c>
      <c r="E108" s="12" t="inlineStr">
        <is>
          <t>21:00</t>
        </is>
      </c>
      <c r="F108" s="12" t="inlineStr">
        <is>
          <t>Instagram</t>
        </is>
      </c>
      <c r="G108" s="14" t="inlineStr">
        <is>
          <t>Reel 15s</t>
        </is>
      </c>
      <c r="H108" s="14" t="inlineStr">
        <is>
          <t>Moments &amp; Offers</t>
        </is>
      </c>
      <c r="I108" s="14" t="inlineStr">
        <is>
          <t>All</t>
        </is>
      </c>
      <c r="J108" s="14" t="inlineStr"/>
      <c r="K108" s="14" t="inlineStr">
        <is>
          <t>White Friday</t>
        </is>
      </c>
      <c r="L108" s="15" t="inlineStr">
        <is>
          <t>White Friday: final hours</t>
        </is>
      </c>
      <c r="M108" s="14" t="inlineStr">
        <is>
          <t>On-screen: Final hours 🤍</t>
        </is>
      </c>
      <c r="N108" s="14" t="inlineStr">
        <is>
          <t>Final hours</t>
        </is>
      </c>
      <c r="O108" s="16" t="inlineStr">
        <is>
          <t>الساعات الأخيرة</t>
        </is>
      </c>
      <c r="P108" s="16" t="inlineStr">
        <is>
          <t>الساعات الأخيرة 🤍 أرسل «🤍» على الواتساب قبل منتصف الليل.</t>
        </is>
      </c>
      <c r="Q108" s="14" t="inlineStr">
        <is>
          <t>Final hours. Send 🤍 on WhatsApp before midnight.</t>
        </is>
      </c>
      <c r="R108" s="14" t="inlineStr">
        <is>
          <t>عروض الجمعة البيضاء</t>
        </is>
      </c>
      <c r="S108" s="16" t="inlineStr">
        <is>
          <t>#الجمعة_البيضاء #عروض_سفر #مادا #سفر #الرياض</t>
        </is>
      </c>
      <c r="T108" s="14" t="inlineStr">
        <is>
          <t>WhatsApp</t>
        </is>
      </c>
      <c r="U108" s="14" t="inlineStr">
        <is>
          <t>A clock-hand loop over destination shots. Short and urgent, still calm.</t>
        </is>
      </c>
      <c r="V108" s="14" t="inlineStr"/>
      <c r="W108" s="14" t="inlineStr"/>
      <c r="X108" s="14" t="inlineStr">
        <is>
          <t>Scripted</t>
        </is>
      </c>
      <c r="Y108" s="17" t="n"/>
      <c r="Z108" s="17" t="n"/>
      <c r="AA108" s="17" t="n"/>
      <c r="AB108" s="17" t="n"/>
      <c r="AC108" s="17" t="n"/>
      <c r="AD108" s="17" t="n"/>
      <c r="AE108" s="18">
        <f>IF(OR(Y108="",Y108=0),"",(AA108+AB108+AC108+AD108)/Y108)</f>
        <v/>
      </c>
    </row>
    <row r="109">
      <c r="A109" s="19" t="n">
        <v>108</v>
      </c>
      <c r="B109" s="19" t="inlineStr">
        <is>
          <t>27-TT-2130</t>
        </is>
      </c>
      <c r="C109" s="20" t="n">
        <v>46353</v>
      </c>
      <c r="D109" s="19" t="inlineStr">
        <is>
          <t>Fri</t>
        </is>
      </c>
      <c r="E109" s="19" t="inlineStr">
        <is>
          <t>21:30</t>
        </is>
      </c>
      <c r="F109" s="19" t="inlineStr">
        <is>
          <t>TikTok</t>
        </is>
      </c>
      <c r="G109" s="14" t="inlineStr">
        <is>
          <t>LIVE 30-45 min</t>
        </is>
      </c>
      <c r="H109" s="14" t="inlineStr">
        <is>
          <t>One Call</t>
        </is>
      </c>
      <c r="I109" s="14" t="inlineStr">
        <is>
          <t>All</t>
        </is>
      </c>
      <c r="J109" s="14" t="inlineStr"/>
      <c r="K109" s="14" t="inlineStr">
        <is>
          <t>White Friday</t>
        </is>
      </c>
      <c r="L109" s="15" t="inlineStr">
        <is>
          <t>White Friday LIVE: Ask the concierge</t>
        </is>
      </c>
      <c r="M109" s="16" t="inlineStr">
        <is>
          <t>LIVE title: اسأل الكونسيرج + عرض الجمعة البيضاء 🤍</t>
        </is>
      </c>
      <c r="N109" s="14" t="inlineStr">
        <is>
          <t>LIVE · Ask the concierge</t>
        </is>
      </c>
      <c r="O109" s="16" t="inlineStr">
        <is>
          <t>بث مباشر · اسأل الكونسيرج</t>
        </is>
      </c>
      <c r="P109" s="16" t="inlineStr">
        <is>
          <t>بث مباشر: اسألنا أي شي عن السفر، والفيز، والإجازات 🤍</t>
        </is>
      </c>
      <c r="Q109" s="14" t="inlineStr">
        <is>
          <t>LIVE: ask us anything about travel, visas and breaks.</t>
        </is>
      </c>
      <c r="R109" s="14" t="inlineStr">
        <is>
          <t>عروض الجمعة البيضاء, نصائح سفر</t>
        </is>
      </c>
      <c r="S109" s="16" t="inlineStr">
        <is>
          <t>#الجمعة_البيضاء #بث_مباشر #سفر #مادا #السعودية</t>
        </is>
      </c>
      <c r="T109" s="14" t="inlineStr">
        <is>
          <t>Join the LIVE</t>
        </is>
      </c>
      <c r="U109" s="14" t="inlineStr">
        <is>
          <t>Two concierges, a ring light, questions answered live. Pin the WhatsApp number in a comment. Clip the best answers into next week's videos.</t>
        </is>
      </c>
      <c r="V109" s="14" t="inlineStr">
        <is>
          <t>TikTok LIVE needs at least 1,000 followers. If we're below that, post a 45s 'offer explained' video instead.</t>
        </is>
      </c>
      <c r="W109" s="14" t="inlineStr"/>
      <c r="X109" s="14" t="inlineStr">
        <is>
          <t>Scripted</t>
        </is>
      </c>
      <c r="Y109" s="17" t="n"/>
      <c r="Z109" s="17" t="n"/>
      <c r="AA109" s="17" t="n"/>
      <c r="AB109" s="17" t="n"/>
      <c r="AC109" s="17" t="n"/>
      <c r="AD109" s="17" t="n"/>
      <c r="AE109" s="18">
        <f>IF(OR(Y109="",Y109=0),"",(AA109+AB109+AC109+AD109)/Y109)</f>
        <v/>
      </c>
    </row>
    <row r="110">
      <c r="A110" s="21" t="n">
        <v>109</v>
      </c>
      <c r="B110" s="21" t="inlineStr">
        <is>
          <t>27-X-0805</t>
        </is>
      </c>
      <c r="C110" s="22" t="n">
        <v>46353</v>
      </c>
      <c r="D110" s="21" t="inlineStr">
        <is>
          <t>Fri</t>
        </is>
      </c>
      <c r="E110" s="21" t="inlineStr">
        <is>
          <t>08:05</t>
        </is>
      </c>
      <c r="F110" s="21" t="inlineStr">
        <is>
          <t>X</t>
        </is>
      </c>
      <c r="G110" s="14" t="inlineStr">
        <is>
          <t>Post (pinned)</t>
        </is>
      </c>
      <c r="H110" s="14" t="inlineStr">
        <is>
          <t>Moments &amp; Offers</t>
        </is>
      </c>
      <c r="I110" s="14" t="inlineStr">
        <is>
          <t>All</t>
        </is>
      </c>
      <c r="J110" s="14" t="inlineStr"/>
      <c r="K110" s="14" t="inlineStr">
        <is>
          <t>White Friday</t>
        </is>
      </c>
      <c r="L110" s="15" t="inlineStr">
        <is>
          <t>White Friday is live</t>
        </is>
      </c>
      <c r="M110" s="16" t="inlineStr">
        <is>
          <t>الجمعة البيضاء بدأت 🤍</t>
        </is>
      </c>
      <c r="N110" s="14" t="inlineStr"/>
      <c r="O110" s="14" t="inlineStr"/>
      <c r="P110" s="16" t="inlineStr">
        <is>
          <t>الجمعة البيضاء بدأت 🤍
[تفاصيل العرض]
اليوم فقط. أرسل «🤍» على الواتساب ‎+966 56 668 2662</t>
        </is>
      </c>
      <c r="Q110" s="14" t="inlineStr">
        <is>
          <t>White Friday is live. [Offer details]. Today only. Send 🤍 on WhatsApp.</t>
        </is>
      </c>
      <c r="R110" s="14" t="inlineStr">
        <is>
          <t>الجمعة البيضاء عروض سفر</t>
        </is>
      </c>
      <c r="S110" s="16" t="inlineStr">
        <is>
          <t>#الجمعة_البيضاء</t>
        </is>
      </c>
      <c r="T110" s="14" t="inlineStr">
        <is>
          <t>WhatsApp</t>
        </is>
      </c>
      <c r="U110" s="14" t="inlineStr">
        <is>
          <t>Poster image. Pin for the day. DM everyone who replied 🤍 on 24 Nov.</t>
        </is>
      </c>
      <c r="V110" s="14" t="inlineStr">
        <is>
          <t>Management approval.</t>
        </is>
      </c>
      <c r="W110" s="14" t="inlineStr"/>
      <c r="X110" s="14" t="inlineStr">
        <is>
          <t>Scripted</t>
        </is>
      </c>
      <c r="Y110" s="17" t="n"/>
      <c r="Z110" s="17" t="n"/>
      <c r="AA110" s="17" t="n"/>
      <c r="AB110" s="17" t="n"/>
      <c r="AC110" s="17" t="n"/>
      <c r="AD110" s="17" t="n"/>
      <c r="AE110" s="18">
        <f>IF(OR(Y110="",Y110=0),"",(AA110+AB110+AC110+AD110)/Y110)</f>
        <v/>
      </c>
    </row>
    <row r="111">
      <c r="A111" s="12" t="n">
        <v>110</v>
      </c>
      <c r="B111" s="12" t="inlineStr">
        <is>
          <t>28-IG-2030</t>
        </is>
      </c>
      <c r="C111" s="13" t="n">
        <v>46354</v>
      </c>
      <c r="D111" s="12" t="inlineStr">
        <is>
          <t>Sat</t>
        </is>
      </c>
      <c r="E111" s="12" t="inlineStr">
        <is>
          <t>20:30</t>
        </is>
      </c>
      <c r="F111" s="12" t="inlineStr">
        <is>
          <t>Instagram</t>
        </is>
      </c>
      <c r="G111" s="14" t="inlineStr">
        <is>
          <t>Reel 30s</t>
        </is>
      </c>
      <c r="H111" s="14" t="inlineStr">
        <is>
          <t>Moments &amp; Offers</t>
        </is>
      </c>
      <c r="I111" s="14" t="inlineStr">
        <is>
          <t>Mixed</t>
        </is>
      </c>
      <c r="J111" s="14" t="inlineStr"/>
      <c r="K111" s="14" t="inlineStr">
        <is>
          <t>End of autumn break</t>
        </is>
      </c>
      <c r="L111" s="15" t="inlineStr">
        <is>
          <t>Break recap: where our clients went</t>
        </is>
      </c>
      <c r="M111" s="14" t="inlineStr">
        <is>
          <t>A map of Saudi lights up with dots</t>
        </is>
      </c>
      <c r="N111" s="14" t="inlineStr">
        <is>
          <t>Where you went this break</t>
        </is>
      </c>
      <c r="O111" s="16" t="inlineStr">
        <is>
          <t>وين رحتوا هالإجازة</t>
        </is>
      </c>
      <c r="P111" s="16" t="inlineStr">
        <is>
          <t>وين رحتوا هالإجازة؟ 🗺️ هذي الخريطة من رحلات عملاءنا (بإذنهم 🤍)
شكراً إنكم سافرتوا معنا.</t>
        </is>
      </c>
      <c r="Q111" s="14" t="inlineStr">
        <is>
          <t>Where you went this break: a map of our clients' trips (shared with permission). Thank you for travelling with us.</t>
        </is>
      </c>
      <c r="R111" s="14" t="inlineStr">
        <is>
          <t>اجازة الخريف, رحلات</t>
        </is>
      </c>
      <c r="S111" s="16" t="inlineStr">
        <is>
          <t>#إجازة_الخريف #مادا #سفر #MadaTrips #السعودية</t>
        </is>
      </c>
      <c r="T111" s="14" t="inlineStr">
        <is>
          <t>Share your trip in our DMs</t>
        </is>
      </c>
      <c r="U111" s="14" t="inlineStr">
        <is>
          <t>An animated map with dots popping (AlUla, Abha, Jeddah, Muscat, Baku, Tbilisi, London…) intercut with consented client clips. Warm thank-you ending.</t>
        </is>
      </c>
      <c r="V111" s="14" t="inlineStr">
        <is>
          <t>Written consent for every client clip. Aggregated data only.</t>
        </is>
      </c>
      <c r="W111" s="14" t="inlineStr"/>
      <c r="X111" s="14" t="inlineStr">
        <is>
          <t>Scripted</t>
        </is>
      </c>
      <c r="Y111" s="17" t="n"/>
      <c r="Z111" s="17" t="n"/>
      <c r="AA111" s="17" t="n"/>
      <c r="AB111" s="17" t="n"/>
      <c r="AC111" s="17" t="n"/>
      <c r="AD111" s="17" t="n"/>
      <c r="AE111" s="18">
        <f>IF(OR(Y111="",Y111=0),"",(AA111+AB111+AC111+AD111)/Y111)</f>
        <v/>
      </c>
    </row>
    <row r="112">
      <c r="A112" s="19" t="n">
        <v>111</v>
      </c>
      <c r="B112" s="19" t="inlineStr">
        <is>
          <t>28-TT-2100</t>
        </is>
      </c>
      <c r="C112" s="20" t="n">
        <v>46354</v>
      </c>
      <c r="D112" s="19" t="inlineStr">
        <is>
          <t>Sat</t>
        </is>
      </c>
      <c r="E112" s="19" t="inlineStr">
        <is>
          <t>21:00</t>
        </is>
      </c>
      <c r="F112" s="19" t="inlineStr">
        <is>
          <t>TikTok</t>
        </is>
      </c>
      <c r="G112" s="14" t="inlineStr">
        <is>
          <t>Video 15s</t>
        </is>
      </c>
      <c r="H112" s="14" t="inlineStr">
        <is>
          <t>Moments &amp; Offers</t>
        </is>
      </c>
      <c r="I112" s="14" t="inlineStr">
        <is>
          <t>All</t>
        </is>
      </c>
      <c r="J112" s="14" t="inlineStr"/>
      <c r="K112" s="14" t="inlineStr">
        <is>
          <t>Last day of break</t>
        </is>
      </c>
      <c r="L112" s="15" t="inlineStr">
        <is>
          <t>Last day of the break mood</t>
        </is>
      </c>
      <c r="M112" s="16" t="inlineStr">
        <is>
          <t>On-screen: آخر يوم إجازة 🥲</t>
        </is>
      </c>
      <c r="N112" s="14" t="inlineStr">
        <is>
          <t>Last day of the break</t>
        </is>
      </c>
      <c r="O112" s="16" t="inlineStr">
        <is>
          <t>آخر يوم إجازة</t>
        </is>
      </c>
      <c r="P112" s="16" t="inlineStr">
        <is>
          <t>آخر يوم إجازة… من معي؟ 🥲</t>
        </is>
      </c>
      <c r="Q112" s="14" t="inlineStr">
        <is>
          <t>Last day of the break. Who's with me?</t>
        </is>
      </c>
      <c r="R112" s="14" t="inlineStr">
        <is>
          <t>اجازة الخريف</t>
        </is>
      </c>
      <c r="S112" s="16" t="inlineStr">
        <is>
          <t>#إجازة_الخريف #آخر_يوم_إجازة #السعودية #ترند #مادا</t>
        </is>
      </c>
      <c r="T112" s="14" t="inlineStr">
        <is>
          <t>Tag someone</t>
        </is>
      </c>
      <c r="U112" s="14" t="inlineStr">
        <is>
          <t>A relatable trend audio: the team unpacking slowly, alarm-clock dread. Light.</t>
        </is>
      </c>
      <c r="V112" s="14" t="inlineStr"/>
      <c r="W112" s="14" t="inlineStr"/>
      <c r="X112" s="14" t="inlineStr">
        <is>
          <t>Scripted</t>
        </is>
      </c>
      <c r="Y112" s="17" t="n"/>
      <c r="Z112" s="17" t="n"/>
      <c r="AA112" s="17" t="n"/>
      <c r="AB112" s="17" t="n"/>
      <c r="AC112" s="17" t="n"/>
      <c r="AD112" s="17" t="n"/>
      <c r="AE112" s="18">
        <f>IF(OR(Y112="",Y112=0),"",(AA112+AB112+AC112+AD112)/Y112)</f>
        <v/>
      </c>
    </row>
    <row r="113">
      <c r="A113" s="19" t="n">
        <v>112</v>
      </c>
      <c r="B113" s="19" t="inlineStr">
        <is>
          <t>28-TT-2200</t>
        </is>
      </c>
      <c r="C113" s="20" t="n">
        <v>46354</v>
      </c>
      <c r="D113" s="19" t="inlineStr">
        <is>
          <t>Sat</t>
        </is>
      </c>
      <c r="E113" s="19" t="inlineStr">
        <is>
          <t>22:00</t>
        </is>
      </c>
      <c r="F113" s="19" t="inlineStr">
        <is>
          <t>TikTok</t>
        </is>
      </c>
      <c r="G113" s="14" t="inlineStr">
        <is>
          <t>Video 35s</t>
        </is>
      </c>
      <c r="H113" s="14" t="inlineStr">
        <is>
          <t>World Horizons</t>
        </is>
      </c>
      <c r="I113" s="14" t="inlineStr">
        <is>
          <t>Global</t>
        </is>
      </c>
      <c r="J113" s="14" t="inlineStr">
        <is>
          <t>Fly For It</t>
        </is>
      </c>
      <c r="K113" s="14" t="inlineStr">
        <is>
          <t>Spanish Super Cup 2-7 Feb 2027 (Istanbul)</t>
        </is>
      </c>
      <c r="L113" s="15" t="inlineStr">
        <is>
          <t>The Super Cup moves to Istanbul</t>
        </is>
      </c>
      <c r="M113" s="16" t="inlineStr">
        <is>
          <t>On-screen: السوبر الإسباني هالسنة… مو عندنا 👀</t>
        </is>
      </c>
      <c r="N113" s="14" t="inlineStr">
        <is>
          <t>Spanish Super Cup · Istanbul · 2-7 Feb</t>
        </is>
      </c>
      <c r="O113" s="16" t="inlineStr">
        <is>
          <t>السوبر الإسباني · إسطنبول · ٢–٧ فبراير</t>
        </is>
      </c>
      <c r="P113" s="16" t="inlineStr">
        <is>
          <t>السوبر الإسباني ٢٠٢٧ في إسطنبول مو الرياض 👀 (لأن كأس آسيا عندنا)
ريال مدريد، برشلونة، أتلتيكو، وريال سوسيداد. واحتمال كلاسيكو بالنهائي… ٤ ساعات من الرياض ⚽</t>
        </is>
      </c>
      <c r="Q113" s="14" t="inlineStr">
        <is>
          <t>The 2027 Spanish Super Cup is in Istanbul, not Riyadh (the Asian Cup is here). Real Madrid, Barcelona, Atlético and Real Sociedad, and a possible Clásico final 4 hours from Riyadh.</t>
        </is>
      </c>
      <c r="R113" s="14" t="inlineStr">
        <is>
          <t>السوبر الاسباني ٢٠٢٧, السوبر الاسباني اسطنبول, كلاسيكو</t>
        </is>
      </c>
      <c r="S113" s="16" t="inlineStr">
        <is>
          <t>#السوبر_الإسباني #ريال_مدريد #برشلونة #إسطنبول #مادا</t>
        </is>
      </c>
      <c r="T113" s="14" t="inlineStr">
        <is>
          <t>Comment who wins</t>
        </is>
      </c>
      <c r="U113" s="14" t="inlineStr">
        <is>
          <t>News-style green-screen over the RFEF announcement, a map RUH → IST, a bracket graphic. No club crests.</t>
        </is>
      </c>
      <c r="V113" s="14" t="inlineStr"/>
      <c r="W113" s="14" t="inlineStr"/>
      <c r="X113" s="14" t="inlineStr">
        <is>
          <t>Scripted</t>
        </is>
      </c>
      <c r="Y113" s="17" t="n"/>
      <c r="Z113" s="17" t="n"/>
      <c r="AA113" s="17" t="n"/>
      <c r="AB113" s="17" t="n"/>
      <c r="AC113" s="17" t="n"/>
      <c r="AD113" s="17" t="n"/>
      <c r="AE113" s="18">
        <f>IF(OR(Y113="",Y113=0),"",(AA113+AB113+AC113+AD113)/Y113)</f>
        <v/>
      </c>
    </row>
    <row r="114">
      <c r="A114" s="21" t="n">
        <v>113</v>
      </c>
      <c r="B114" s="21" t="inlineStr">
        <is>
          <t>28-X-1800</t>
        </is>
      </c>
      <c r="C114" s="22" t="n">
        <v>46354</v>
      </c>
      <c r="D114" s="21" t="inlineStr">
        <is>
          <t>Sat</t>
        </is>
      </c>
      <c r="E114" s="21" t="inlineStr">
        <is>
          <t>18:00</t>
        </is>
      </c>
      <c r="F114" s="21" t="inlineStr">
        <is>
          <t>X</t>
        </is>
      </c>
      <c r="G114" s="14" t="inlineStr">
        <is>
          <t>Post</t>
        </is>
      </c>
      <c r="H114" s="14" t="inlineStr">
        <is>
          <t>One Call</t>
        </is>
      </c>
      <c r="I114" s="14" t="inlineStr">
        <is>
          <t>All</t>
        </is>
      </c>
      <c r="J114" s="14" t="inlineStr"/>
      <c r="K114" s="14" t="inlineStr">
        <is>
          <t>End of break</t>
        </is>
      </c>
      <c r="L114" s="15" t="inlineStr">
        <is>
          <t>How was your trip?</t>
        </is>
      </c>
      <c r="M114" s="16" t="inlineStr">
        <is>
          <t>رجعت من الإجازة؟</t>
        </is>
      </c>
      <c r="N114" s="14" t="inlineStr"/>
      <c r="O114" s="14" t="inlineStr"/>
      <c r="P114" s="16" t="inlineStr">
        <is>
          <t>رجعت من الإجازة؟ 🍂
قيّم رحلتك من ١٠ بالرد، ووش الشي اللي كان ودك يكون أسهل؟ نقرأ كل رد.</t>
        </is>
      </c>
      <c r="Q114" s="14" t="inlineStr">
        <is>
          <t>Back from the break? Rate your trip out of 10 in the replies. What do you wish had been easier? We read every reply.</t>
        </is>
      </c>
      <c r="R114" s="14" t="inlineStr"/>
      <c r="S114" s="16" t="inlineStr">
        <is>
          <t>#إجازة_الخريف</t>
        </is>
      </c>
      <c r="T114" s="14" t="inlineStr">
        <is>
          <t>Reply</t>
        </is>
      </c>
      <c r="U114" s="14" t="inlineStr">
        <is>
          <t>Text only.</t>
        </is>
      </c>
      <c r="V114" s="14" t="inlineStr">
        <is>
          <t>Collect insights for December content.</t>
        </is>
      </c>
      <c r="W114" s="14" t="inlineStr"/>
      <c r="X114" s="14" t="inlineStr">
        <is>
          <t>Scripted</t>
        </is>
      </c>
      <c r="Y114" s="17" t="n"/>
      <c r="Z114" s="17" t="n"/>
      <c r="AA114" s="17" t="n"/>
      <c r="AB114" s="17" t="n"/>
      <c r="AC114" s="17" t="n"/>
      <c r="AD114" s="17" t="n"/>
      <c r="AE114" s="18">
        <f>IF(OR(Y114="",Y114=0),"",(AA114+AB114+AC114+AD114)/Y114)</f>
        <v/>
      </c>
    </row>
    <row r="115">
      <c r="A115" s="12" t="n">
        <v>114</v>
      </c>
      <c r="B115" s="12" t="inlineStr">
        <is>
          <t>29-IG-2030</t>
        </is>
      </c>
      <c r="C115" s="13" t="n">
        <v>46355</v>
      </c>
      <c r="D115" s="12" t="inlineStr">
        <is>
          <t>Sun</t>
        </is>
      </c>
      <c r="E115" s="12" t="inlineStr">
        <is>
          <t>20:30</t>
        </is>
      </c>
      <c r="F115" s="12" t="inlineStr">
        <is>
          <t>Instagram</t>
        </is>
      </c>
      <c r="G115" s="14" t="inlineStr">
        <is>
          <t>Carousel 8</t>
        </is>
      </c>
      <c r="H115" s="14" t="inlineStr">
        <is>
          <t>Know Before You Go</t>
        </is>
      </c>
      <c r="I115" s="14" t="inlineStr">
        <is>
          <t>Saudi</t>
        </is>
      </c>
      <c r="J115" s="14" t="inlineStr">
        <is>
          <t>Umrah, Step by Step</t>
        </is>
      </c>
      <c r="K115" s="14" t="inlineStr">
        <is>
          <t>1 Rajab 1448 ≈ 10 Dec 2026</t>
        </is>
      </c>
      <c r="L115" s="15" t="inlineStr">
        <is>
          <t>Rajab starts 10 Dec: plan your Umrah calmly</t>
        </is>
      </c>
      <c r="M115" s="14" t="inlineStr">
        <is>
          <t>Slide 1: Rajab begins in 11 days. A calm way to plan your Umrah.</t>
        </is>
      </c>
      <c r="N115" s="14" t="inlineStr">
        <is>
          <t>Rajab · plan your Umrah calmly</t>
        </is>
      </c>
      <c r="O115" s="16" t="inlineStr">
        <is>
          <t>رجب · خطط لعمرتك بهدوء</t>
        </is>
      </c>
      <c r="P115" s="16" t="inlineStr">
        <is>
          <t>يبدأ شهر رجب ١٠ ديسمبر بإذن الله 🤍
إذا ناوي عمرة رجب أو رمضان، هذي خطوات التخطيط بهدوء: التصريح عبر نسك، الفندق القريب، التنقل، ورعاية كبار السن.</t>
        </is>
      </c>
      <c r="Q115" s="14" t="inlineStr">
        <is>
          <t>Rajab is expected to begin on 10 December. If you're planning Umrah in Rajab or Ramadan, here are the calm planning steps: the Nusuk permit, a nearby hotel, getting around, and care for elderly parents.</t>
        </is>
      </c>
      <c r="R115" s="14" t="inlineStr">
        <is>
          <t>عمرة رجب, باقات عمرة, تصريح عمرة نسك, Umrah package Riyadh</t>
        </is>
      </c>
      <c r="S115" s="16" t="inlineStr">
        <is>
          <t>#عمرة #عمرة_رجب #نسك #مكة #مادا</t>
        </is>
      </c>
      <c r="T115" s="14" t="inlineStr">
        <is>
          <t>Save + DM 'عمرة'</t>
        </is>
      </c>
      <c r="U115" s="14" t="inlineStr">
        <is>
          <t>Calm, respectful design: soft sand tones, no music on story versions, no salesy badges. One step per slide.</t>
        </is>
      </c>
      <c r="V115" s="14" t="inlineStr">
        <is>
          <t>Religious accuracy check by a knowledgeable team member. Say 'expected' for Hijri dates.</t>
        </is>
      </c>
      <c r="W115" s="14" t="inlineStr"/>
      <c r="X115" s="14" t="inlineStr">
        <is>
          <t>Scripted</t>
        </is>
      </c>
      <c r="Y115" s="17" t="n"/>
      <c r="Z115" s="17" t="n"/>
      <c r="AA115" s="17" t="n"/>
      <c r="AB115" s="17" t="n"/>
      <c r="AC115" s="17" t="n"/>
      <c r="AD115" s="17" t="n"/>
      <c r="AE115" s="18">
        <f>IF(OR(Y115="",Y115=0),"",(AA115+AB115+AC115+AD115)/Y115)</f>
        <v/>
      </c>
    </row>
    <row r="116">
      <c r="A116" s="12" t="n">
        <v>115</v>
      </c>
      <c r="B116" s="12" t="inlineStr">
        <is>
          <t>29-IG-2130</t>
        </is>
      </c>
      <c r="C116" s="13" t="n">
        <v>46355</v>
      </c>
      <c r="D116" s="12" t="inlineStr">
        <is>
          <t>Sun</t>
        </is>
      </c>
      <c r="E116" s="12" t="inlineStr">
        <is>
          <t>21:30</t>
        </is>
      </c>
      <c r="F116" s="12" t="inlineStr">
        <is>
          <t>Instagram</t>
        </is>
      </c>
      <c r="G116" s="14" t="inlineStr">
        <is>
          <t>Carousel 9</t>
        </is>
      </c>
      <c r="H116" s="14" t="inlineStr">
        <is>
          <t>World Horizons</t>
        </is>
      </c>
      <c r="I116" s="14" t="inlineStr">
        <is>
          <t>Global</t>
        </is>
      </c>
      <c r="J116" s="14" t="inlineStr">
        <is>
          <t>Winter Escapes</t>
        </is>
      </c>
      <c r="K116" s="14" t="inlineStr">
        <is>
          <t>Mid-year break (8 Jan)</t>
        </is>
      </c>
      <c r="L116" s="15" t="inlineStr">
        <is>
          <t>Winter Escapes: snow, sun or city for the 8 Jan break</t>
        </is>
      </c>
      <c r="M116" s="14" t="inlineStr">
        <is>
          <t>Slide 1: The mid-year break starts 8 Jan. Snow, sun or city?</t>
        </is>
      </c>
      <c r="N116" s="14" t="inlineStr">
        <is>
          <t>Snow · Sun · City</t>
        </is>
      </c>
      <c r="O116" s="16" t="inlineStr">
        <is>
          <t>ثلج · شمس · مدينة</t>
        </is>
      </c>
      <c r="P116" s="16" t="inlineStr">
        <is>
          <t>إجازة منتصف العام تبدأ ٨ يناير ❄️☀️🏙️ وأنت من أي فريق؟
ثلج: سويسرا · جورجيا · أذربيجان · سابورو
شمس: المالديف · بوكيت · لنكاوي
مدينة: لندن · باريس (التخفيضات) · إسطنبول
الحجوزات تمتلي بدري. أرسل «إجازة» على الواتساب.</t>
        </is>
      </c>
      <c r="Q116" s="14" t="inlineStr">
        <is>
          <t>The mid-year break starts 8 January. Which team are you? Snow: Switzerland, Georgia, Azerbaijan, Sapporo. Sun: Maldives, Phuket, Langkawi. City: London, Paris (the sales), Istanbul. Bookings fill early. Send 'break' on WhatsApp.</t>
        </is>
      </c>
      <c r="R116" s="14" t="inlineStr">
        <is>
          <t>وين نسافر اجازة منتصف العام, سفر الشتاء, ثلوج, المالديف</t>
        </is>
      </c>
      <c r="S116" s="16" t="inlineStr">
        <is>
          <t>#إجازة_منتصف_العام #سفر_الشتاء #ثلوج #المالديف #مادا</t>
        </is>
      </c>
      <c r="T116" s="14" t="inlineStr">
        <is>
          <t>Comment snow/sun/city</t>
        </is>
      </c>
      <c r="U116" s="14" t="inlineStr">
        <is>
          <t>3 colour-coded sections (ice blue, sun gold, city green) on brand sand. Each slide: destination, flight time, visa, family/couple tag, private-pool or connecting-room note.</t>
        </is>
      </c>
      <c r="V116" s="14" t="inlineStr"/>
      <c r="W116" s="14" t="inlineStr"/>
      <c r="X116" s="14" t="inlineStr">
        <is>
          <t>Scripted</t>
        </is>
      </c>
      <c r="Y116" s="17" t="n"/>
      <c r="Z116" s="17" t="n"/>
      <c r="AA116" s="17" t="n"/>
      <c r="AB116" s="17" t="n"/>
      <c r="AC116" s="17" t="n"/>
      <c r="AD116" s="17" t="n"/>
      <c r="AE116" s="18">
        <f>IF(OR(Y116="",Y116=0),"",(AA116+AB116+AC116+AD116)/Y116)</f>
        <v/>
      </c>
    </row>
    <row r="117">
      <c r="A117" s="19" t="n">
        <v>116</v>
      </c>
      <c r="B117" s="19" t="inlineStr">
        <is>
          <t>29-TT-2100</t>
        </is>
      </c>
      <c r="C117" s="20" t="n">
        <v>46355</v>
      </c>
      <c r="D117" s="19" t="inlineStr">
        <is>
          <t>Sun</t>
        </is>
      </c>
      <c r="E117" s="19" t="inlineStr">
        <is>
          <t>21:00</t>
        </is>
      </c>
      <c r="F117" s="19" t="inlineStr">
        <is>
          <t>TikTok</t>
        </is>
      </c>
      <c r="G117" s="14" t="inlineStr">
        <is>
          <t>Video 45s</t>
        </is>
      </c>
      <c r="H117" s="14" t="inlineStr">
        <is>
          <t>Know Before You Go</t>
        </is>
      </c>
      <c r="I117" s="14" t="inlineStr">
        <is>
          <t>Saudi</t>
        </is>
      </c>
      <c r="J117" s="14" t="inlineStr">
        <is>
          <t>Umrah, Step by Step</t>
        </is>
      </c>
      <c r="K117" s="14" t="inlineStr">
        <is>
          <t>Rajab teaser</t>
        </is>
      </c>
      <c r="L117" s="15" t="inlineStr">
        <is>
          <t>Umrah, step by step #1: before you go</t>
        </is>
      </c>
      <c r="M117" s="16" t="inlineStr">
        <is>
          <t>VO calm: ناوي عمرة؟ أول خطوة قبل أي حجز 👇</t>
        </is>
      </c>
      <c r="N117" s="14" t="inlineStr">
        <is>
          <t>Umrah: the first step before booking</t>
        </is>
      </c>
      <c r="O117" s="16" t="inlineStr">
        <is>
          <t>العمرة: أول خطوة قبل أي حجز</t>
        </is>
      </c>
      <c r="P117" s="16" t="inlineStr">
        <is>
          <t>ناوي عمرة؟ 🤍 أول خطوة قبل أي حجز: تصريح العمرة من تطبيق نسك. هذي الطريقة 👇</t>
        </is>
      </c>
      <c r="Q117" s="14" t="inlineStr">
        <is>
          <t>Planning Umrah? The first step before any booking is the Umrah permit in the Nusuk app. Here's how.</t>
        </is>
      </c>
      <c r="R117" s="14" t="inlineStr">
        <is>
          <t>تصريح عمرة نسك, طريقة حجز عمرة, Umrah permit Nusuk</t>
        </is>
      </c>
      <c r="S117" s="16" t="inlineStr">
        <is>
          <t>#عمرة #نسك #تصريح_عمرة #مكة #مادا</t>
        </is>
      </c>
      <c r="T117" s="14" t="inlineStr">
        <is>
          <t>Save + follow the series</t>
        </is>
      </c>
      <c r="U117" s="14" t="inlineStr">
        <is>
          <t>A calm screen-record of the Nusuk app (no personal data) with VO. No music. A respectful, clear series opener.</t>
        </is>
      </c>
      <c r="V117" s="14" t="inlineStr">
        <is>
          <t>Accuracy check against the current Nusuk flow. Series continues through December.</t>
        </is>
      </c>
      <c r="W117" s="14" t="inlineStr"/>
      <c r="X117" s="14" t="inlineStr">
        <is>
          <t>Scripted</t>
        </is>
      </c>
      <c r="Y117" s="17" t="n"/>
      <c r="Z117" s="17" t="n"/>
      <c r="AA117" s="17" t="n"/>
      <c r="AB117" s="17" t="n"/>
      <c r="AC117" s="17" t="n"/>
      <c r="AD117" s="17" t="n"/>
      <c r="AE117" s="18">
        <f>IF(OR(Y117="",Y117=0),"",(AA117+AB117+AC117+AD117)/Y117)</f>
        <v/>
      </c>
    </row>
    <row r="118">
      <c r="A118" s="21" t="n">
        <v>117</v>
      </c>
      <c r="B118" s="21" t="inlineStr">
        <is>
          <t>29-X-1300</t>
        </is>
      </c>
      <c r="C118" s="22" t="n">
        <v>46355</v>
      </c>
      <c r="D118" s="21" t="inlineStr">
        <is>
          <t>Sun</t>
        </is>
      </c>
      <c r="E118" s="21" t="inlineStr">
        <is>
          <t>13:00</t>
        </is>
      </c>
      <c r="F118" s="21" t="inlineStr">
        <is>
          <t>X</t>
        </is>
      </c>
      <c r="G118" s="14" t="inlineStr">
        <is>
          <t>Post</t>
        </is>
      </c>
      <c r="H118" s="14" t="inlineStr">
        <is>
          <t>Know Before You Go</t>
        </is>
      </c>
      <c r="I118" s="14" t="inlineStr">
        <is>
          <t>Saudi</t>
        </is>
      </c>
      <c r="J118" s="14" t="inlineStr"/>
      <c r="K118" s="14" t="inlineStr">
        <is>
          <t>Ramadan 2027 ≈ 8 Feb</t>
        </is>
      </c>
      <c r="L118" s="15" t="inlineStr">
        <is>
          <t>Ramadan Umrah: book early</t>
        </is>
      </c>
      <c r="M118" s="16" t="inlineStr">
        <is>
          <t>رمضان ١٤٤٨ يبدأ تقريباً ٨ فبراير.</t>
        </is>
      </c>
      <c r="N118" s="14" t="inlineStr"/>
      <c r="O118" s="14" t="inlineStr"/>
      <c r="P118" s="16" t="inlineStr">
        <is>
          <t>رمضان ١٤٤٨ يبدأ تقريباً ٨ فبراير ٢٠٢٧ بإذن الله 🌙
إذا ناوي عمرة رمضان، الفنادق القريبة من الحرم تمتلي بدري. ابدأ التخطيط من رجب.</t>
        </is>
      </c>
      <c r="Q118" s="14" t="inlineStr">
        <is>
          <t>Ramadan 1448 is expected around 8 February 2027. If you plan Umrah in Ramadan, hotels near the Haram fill early. Start planning in Rajab.</t>
        </is>
      </c>
      <c r="R118" s="14" t="inlineStr">
        <is>
          <t>عمرة رمضان, فنادق قريبة من الحرم</t>
        </is>
      </c>
      <c r="S118" s="16" t="inlineStr">
        <is>
          <t>#عمرة_رمضان</t>
        </is>
      </c>
      <c r="T118" s="14" t="inlineStr">
        <is>
          <t>DM</t>
        </is>
      </c>
      <c r="U118" s="14" t="inlineStr">
        <is>
          <t>Text only.</t>
        </is>
      </c>
      <c r="V118" s="14" t="inlineStr">
        <is>
          <t>Say 'expected', since it depends on moon sighting.</t>
        </is>
      </c>
      <c r="W118" s="14" t="inlineStr"/>
      <c r="X118" s="14" t="inlineStr">
        <is>
          <t>Scripted</t>
        </is>
      </c>
      <c r="Y118" s="17" t="n"/>
      <c r="Z118" s="17" t="n"/>
      <c r="AA118" s="17" t="n"/>
      <c r="AB118" s="17" t="n"/>
      <c r="AC118" s="17" t="n"/>
      <c r="AD118" s="17" t="n"/>
      <c r="AE118" s="18">
        <f>IF(OR(Y118="",Y118=0),"",(AA118+AB118+AC118+AD118)/Y118)</f>
        <v/>
      </c>
    </row>
    <row r="119">
      <c r="A119" s="23" t="n">
        <v>118</v>
      </c>
      <c r="B119" s="23" t="inlineStr">
        <is>
          <t>29-LI-0930</t>
        </is>
      </c>
      <c r="C119" s="24" t="n">
        <v>46355</v>
      </c>
      <c r="D119" s="23" t="inlineStr">
        <is>
          <t>Sun</t>
        </is>
      </c>
      <c r="E119" s="23" t="inlineStr">
        <is>
          <t>09:30</t>
        </is>
      </c>
      <c r="F119" s="23" t="inlineStr">
        <is>
          <t>LinkedIn</t>
        </is>
      </c>
      <c r="G119" s="14" t="inlineStr">
        <is>
          <t>Post</t>
        </is>
      </c>
      <c r="H119" s="14" t="inlineStr">
        <is>
          <t>One Call</t>
        </is>
      </c>
      <c r="I119" s="14" t="inlineStr">
        <is>
          <t>All</t>
        </is>
      </c>
      <c r="J119" s="14" t="inlineStr"/>
      <c r="K119" s="14" t="inlineStr">
        <is>
          <t>Month-end</t>
        </is>
      </c>
      <c r="L119" s="15" t="inlineStr">
        <is>
          <t>Our first month, in numbers</t>
        </is>
      </c>
      <c r="M119" s="14" t="inlineStr">
        <is>
          <t>30 days ago we opened our doors. Here's what we learned.</t>
        </is>
      </c>
      <c r="N119" s="14" t="inlineStr">
        <is>
          <t>Month one</t>
        </is>
      </c>
      <c r="O119" s="14" t="inlineStr"/>
      <c r="P119" s="14" t="inlineStr"/>
      <c r="Q119" s="14" t="inlineStr">
        <is>
          <t>30 days ago Mada Trips opened its doors. What we learned:
• The most common request wasn't a trip. It was 'Can you just handle it?'
• Visa questions outnumbered every other topic
• The best feedback was about a car that was waiting
[Add real numbers: requests handled, trips, events, crews mobilised]
Thank you to every client and partner who trusted a new name. December is already moving.</t>
        </is>
      </c>
      <c r="R119" s="14" t="inlineStr">
        <is>
          <t>travel company Riyadh, startup Saudi Arabia</t>
        </is>
      </c>
      <c r="S119" s="14" t="inlineStr">
        <is>
          <t>#Riyadh #Startup #Travel #Events</t>
        </is>
      </c>
      <c r="T119" s="14" t="inlineStr">
        <is>
          <t>Follow</t>
        </is>
      </c>
      <c r="U119" s="14" t="inlineStr">
        <is>
          <t>One team photo.</t>
        </is>
      </c>
      <c r="V119" s="14" t="inlineStr">
        <is>
          <t>Fill in real numbers. Don't publish placeholders.</t>
        </is>
      </c>
      <c r="W119" s="14" t="inlineStr"/>
      <c r="X119" s="14" t="inlineStr">
        <is>
          <t>Scripted</t>
        </is>
      </c>
      <c r="Y119" s="17" t="n"/>
      <c r="Z119" s="17" t="n"/>
      <c r="AA119" s="17" t="n"/>
      <c r="AB119" s="17" t="n"/>
      <c r="AC119" s="17" t="n"/>
      <c r="AD119" s="17" t="n"/>
      <c r="AE119" s="18">
        <f>IF(OR(Y119="",Y119=0),"",(AA119+AB119+AC119+AD119)/Y119)</f>
        <v/>
      </c>
    </row>
    <row r="120">
      <c r="A120" s="12" t="n">
        <v>119</v>
      </c>
      <c r="B120" s="12" t="inlineStr">
        <is>
          <t>30-IG-2030</t>
        </is>
      </c>
      <c r="C120" s="13" t="n">
        <v>46356</v>
      </c>
      <c r="D120" s="12" t="inlineStr">
        <is>
          <t>Mon</t>
        </is>
      </c>
      <c r="E120" s="12" t="inlineStr">
        <is>
          <t>20:30</t>
        </is>
      </c>
      <c r="F120" s="12" t="inlineStr">
        <is>
          <t>Instagram</t>
        </is>
      </c>
      <c r="G120" s="14" t="inlineStr">
        <is>
          <t>Reel 35s</t>
        </is>
      </c>
      <c r="H120" s="14" t="inlineStr">
        <is>
          <t>World Horizons</t>
        </is>
      </c>
      <c r="I120" s="14" t="inlineStr">
        <is>
          <t>Global</t>
        </is>
      </c>
      <c r="J120" s="14" t="inlineStr"/>
      <c r="K120" s="14" t="inlineStr">
        <is>
          <t>December preview</t>
        </is>
      </c>
      <c r="L120" s="15" t="inlineStr">
        <is>
          <t>December on the horizon</t>
        </is>
      </c>
      <c r="M120" s="14" t="inlineStr">
        <is>
          <t>On-screen: Save December 👇 (calendar flips)</t>
        </is>
      </c>
      <c r="N120" s="14" t="inlineStr">
        <is>
          <t>December on the horizon</t>
        </is>
      </c>
      <c r="O120" s="16" t="inlineStr">
        <is>
          <t>ديسمبر في الأفق</t>
        </is>
      </c>
      <c r="P120" s="16" t="inlineStr">
        <is>
          <t>احفظ ديسمبر 📌
٣–٦: ختام الفورمولا ١ في أبوظبي
٤: يبدأ مهرجان دبي للتسوق
٨–٩: برشلونة × سيتي، وأرسنال × ريال مدريد
١٠: بداية رجب
١٨: اليوم الوطني القطري · ١٨–١٩: فورمولا إي جدة
٢٧–٣٠: Six Kings Slam الرياض
٣١: ليلة رأس السنة
و٨ يناير: إجازة منتصف العام 🎒</t>
        </is>
      </c>
      <c r="Q120" s="14" t="inlineStr">
        <is>
          <t>Save December: F1 Abu Dhabi finale (3-6), Dubai Shopping Festival (from 4), Barcelona v City and Arsenal v Real Madrid (8-9), Rajab begins (10), Qatar National Day (18), Formula E Jeddah (18-19), Six Kings Slam Riyadh (27-30), New Year's Eve, and the mid-year break from 8 January.</t>
        </is>
      </c>
      <c r="R120" s="14" t="inlineStr">
        <is>
          <t>فعاليات ديسمبر, اجازة منتصف العام, فعاليات عالمية ديسمبر</t>
        </is>
      </c>
      <c r="S120" s="16" t="inlineStr">
        <is>
          <t>#ديسمبر #فعاليات #إجازة_منتصف_العام #سفر #مادا</t>
        </is>
      </c>
      <c r="T120" s="14" t="inlineStr">
        <is>
          <t>Save</t>
        </is>
      </c>
      <c r="U120" s="14" t="inlineStr">
        <is>
          <t>Calendar pages flipping, one event per beat, a city skyline per page (Abu Dhabi, Dubai, Barcelona, London, Jeddah, Riyadh). Ends with 'Plan it once. We'll handle the rest.'</t>
        </is>
      </c>
      <c r="V120" s="14" t="inlineStr">
        <is>
          <t>Re-check every date the week of posting.</t>
        </is>
      </c>
      <c r="W120" s="14" t="inlineStr"/>
      <c r="X120" s="14" t="inlineStr">
        <is>
          <t>Scripted</t>
        </is>
      </c>
      <c r="Y120" s="17" t="n"/>
      <c r="Z120" s="17" t="n"/>
      <c r="AA120" s="17" t="n"/>
      <c r="AB120" s="17" t="n"/>
      <c r="AC120" s="17" t="n"/>
      <c r="AD120" s="17" t="n"/>
      <c r="AE120" s="18">
        <f>IF(OR(Y120="",Y120=0),"",(AA120+AB120+AC120+AD120)/Y120)</f>
        <v/>
      </c>
    </row>
    <row r="121">
      <c r="A121" s="19" t="n">
        <v>120</v>
      </c>
      <c r="B121" s="19" t="inlineStr">
        <is>
          <t>30-TT-2100</t>
        </is>
      </c>
      <c r="C121" s="20" t="n">
        <v>46356</v>
      </c>
      <c r="D121" s="19" t="inlineStr">
        <is>
          <t>Mon</t>
        </is>
      </c>
      <c r="E121" s="19" t="inlineStr">
        <is>
          <t>21:00</t>
        </is>
      </c>
      <c r="F121" s="19" t="inlineStr">
        <is>
          <t>TikTok</t>
        </is>
      </c>
      <c r="G121" s="14" t="inlineStr">
        <is>
          <t>Video 35s</t>
        </is>
      </c>
      <c r="H121" s="14" t="inlineStr">
        <is>
          <t>World Horizons</t>
        </is>
      </c>
      <c r="I121" s="14" t="inlineStr">
        <is>
          <t>Global</t>
        </is>
      </c>
      <c r="J121" s="14" t="inlineStr"/>
      <c r="K121" s="14" t="inlineStr">
        <is>
          <t>December preview</t>
        </is>
      </c>
      <c r="L121" s="15" t="inlineStr">
        <is>
          <t>5 December dates abroad to save</t>
        </is>
      </c>
      <c r="M121" s="16" t="inlineStr">
        <is>
          <t>On-screen: ٥ مواعيد بديسمبر برا السعودية تستاهل السفرة 📅</t>
        </is>
      </c>
      <c r="N121" s="14" t="inlineStr">
        <is>
          <t>5 December dates worth flying for</t>
        </is>
      </c>
      <c r="O121" s="16" t="inlineStr">
        <is>
          <t>٥ مواعيد بديسمبر تستاهل السفرة</t>
        </is>
      </c>
      <c r="P121" s="16" t="inlineStr">
        <is>
          <t>٥ مواعيد بديسمبر برا السعودية تستاهل السفرة 📅 أي وحدة رايح لها؟</t>
        </is>
      </c>
      <c r="Q121" s="14" t="inlineStr">
        <is>
          <t>5 December dates abroad worth the trip. Which one are you going to?</t>
        </is>
      </c>
      <c r="R121" s="14" t="inlineStr">
        <is>
          <t>فعاليات ديسمبر, فورمولا ١ ابوظبي, مهرجان دبي للتسوق, ريال مدريد لندن</t>
        </is>
      </c>
      <c r="S121" s="16" t="inlineStr">
        <is>
          <t>#ديسمبر #فورمولا1 #دبي #دوري_أبطال_أوروبا #مادا</t>
        </is>
      </c>
      <c r="T121" s="14" t="inlineStr">
        <is>
          <t>Comment which one</t>
        </is>
      </c>
      <c r="U121" s="14" t="inlineStr">
        <is>
          <t>Fast list with a ticking calendar sound: F1 Abu Dhabi, Dubai Shopping Festival, Arsenal v Real Madrid, Qatar National Day, NYE.</t>
        </is>
      </c>
      <c r="V121" s="14" t="inlineStr"/>
      <c r="W121" s="14" t="inlineStr"/>
      <c r="X121" s="14" t="inlineStr">
        <is>
          <t>Scripted</t>
        </is>
      </c>
      <c r="Y121" s="17" t="n"/>
      <c r="Z121" s="17" t="n"/>
      <c r="AA121" s="17" t="n"/>
      <c r="AB121" s="17" t="n"/>
      <c r="AC121" s="17" t="n"/>
      <c r="AD121" s="17" t="n"/>
      <c r="AE121" s="18">
        <f>IF(OR(Y121="",Y121=0),"",(AA121+AB121+AC121+AD121)/Y121)</f>
        <v/>
      </c>
    </row>
    <row r="122">
      <c r="A122" s="21" t="n">
        <v>121</v>
      </c>
      <c r="B122" s="21" t="inlineStr">
        <is>
          <t>30-X-1300</t>
        </is>
      </c>
      <c r="C122" s="22" t="n">
        <v>46356</v>
      </c>
      <c r="D122" s="21" t="inlineStr">
        <is>
          <t>Mon</t>
        </is>
      </c>
      <c r="E122" s="21" t="inlineStr">
        <is>
          <t>13:00</t>
        </is>
      </c>
      <c r="F122" s="21" t="inlineStr">
        <is>
          <t>X</t>
        </is>
      </c>
      <c r="G122" s="14" t="inlineStr">
        <is>
          <t>Post</t>
        </is>
      </c>
      <c r="H122" s="14" t="inlineStr">
        <is>
          <t>Moments &amp; Offers</t>
        </is>
      </c>
      <c r="I122" s="14" t="inlineStr">
        <is>
          <t>All</t>
        </is>
      </c>
      <c r="J122" s="14" t="inlineStr"/>
      <c r="K122" s="14" t="inlineStr">
        <is>
          <t>Cyber Monday / schools back</t>
        </is>
      </c>
      <c r="L122" s="15" t="inlineStr">
        <is>
          <t>Cyber Monday + December</t>
        </is>
      </c>
      <c r="M122" s="16" t="inlineStr">
        <is>
          <t>آخر عروض نوفمبر اليوم 🤍</t>
        </is>
      </c>
      <c r="N122" s="14" t="inlineStr"/>
      <c r="O122" s="14" t="inlineStr"/>
      <c r="P122" s="16" t="inlineStr">
        <is>
          <t>آخر يوم لعروض نوفمبر 🤍
وخطط ديسمبر من الحين: رجب، فورمولا إي جدة، وإجازة منتصف العام ٨ يناير.
كلمنا على الواتساب.</t>
        </is>
      </c>
      <c r="Q122" s="14" t="inlineStr">
        <is>
          <t>Last day of November offers. And plan December now: Rajab, Formula E Jeddah and the mid-year break on 8 January.</t>
        </is>
      </c>
      <c r="R122" s="14" t="inlineStr">
        <is>
          <t>عروض سفر</t>
        </is>
      </c>
      <c r="S122" s="16" t="inlineStr">
        <is>
          <t>#عروض_سفر</t>
        </is>
      </c>
      <c r="T122" s="14" t="inlineStr">
        <is>
          <t>WhatsApp</t>
        </is>
      </c>
      <c r="U122" s="14" t="inlineStr">
        <is>
          <t>Text only.</t>
        </is>
      </c>
      <c r="V122" s="14" t="inlineStr">
        <is>
          <t>Only if a Cyber Monday offer is approved; otherwise post the December line only.</t>
        </is>
      </c>
      <c r="W122" s="14" t="inlineStr"/>
      <c r="X122" s="14" t="inlineStr">
        <is>
          <t>Scripted</t>
        </is>
      </c>
      <c r="Y122" s="17" t="n"/>
      <c r="Z122" s="17" t="n"/>
      <c r="AA122" s="17" t="n"/>
      <c r="AB122" s="17" t="n"/>
      <c r="AC122" s="17" t="n"/>
      <c r="AD122" s="17" t="n"/>
      <c r="AE122" s="18">
        <f>IF(OR(Y122="",Y122=0),"",(AA122+AB122+AC122+AD122)/Y122)</f>
        <v/>
      </c>
    </row>
    <row r="124">
      <c r="A124" s="11" t="inlineStr">
        <is>
          <t>Yellow columns = fill after posting. Eng. rate = (likes + comments + shares + saves) / reach. Use reach, not followers, so rates compare across a growing account.</t>
        </is>
      </c>
    </row>
  </sheetData>
  <autoFilter ref="A1:AE122"/>
  <conditionalFormatting sqref="X2:X122">
    <cfRule type="expression" priority="1" dxfId="0">
      <formula>$X2="Posted"</formula>
    </cfRule>
    <cfRule type="expression" priority="2" dxfId="1">
      <formula>$X2="Paused"</formula>
    </cfRule>
  </conditionalFormatting>
  <dataValidations count="2">
    <dataValidation sqref="X2:X122" showDropDown="0" showInputMessage="0" showErrorMessage="0" allowBlank="1" type="list">
      <formula1>"Idea,Scripted,Shot,Designed,Approved,Scheduled,Posted,Paused"</formula1>
    </dataValidation>
    <dataValidation sqref="W2:W122" showDropDown="0" showInputMessage="0" showErrorMessage="0" allowBlank="1" type="list">
      <formula1>"Mehnaz,Bilal,Musa,Abdul Rehman,Usman"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3"/>
  <sheetViews>
    <sheetView showGridLines="0" workbookViewId="0">
      <selection activeCell="A1" sqref="A1"/>
    </sheetView>
  </sheetViews>
  <sheetFormatPr baseColWidth="8" defaultRowHeight="15"/>
  <cols>
    <col width="1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9" customWidth="1" min="10" max="10"/>
    <col width="10" customWidth="1" min="11" max="11"/>
  </cols>
  <sheetData>
    <row r="1">
      <c r="A1" s="1" t="inlineStr">
        <is>
          <t>Team board: who's on what</t>
        </is>
      </c>
    </row>
    <row r="2">
      <c r="A2" s="2" t="inlineStr">
        <is>
          <t>Counts update from the Owner and Status columns in Calendar. Filter Calendar by Owner or Status to see each person's list.</t>
        </is>
      </c>
    </row>
    <row r="4">
      <c r="A4" s="5" t="inlineStr">
        <is>
          <t>Person</t>
        </is>
      </c>
      <c r="B4" s="5" t="inlineStr">
        <is>
          <t>Idea</t>
        </is>
      </c>
      <c r="C4" s="5" t="inlineStr">
        <is>
          <t>Scripted</t>
        </is>
      </c>
      <c r="D4" s="5" t="inlineStr">
        <is>
          <t>Shot</t>
        </is>
      </c>
      <c r="E4" s="5" t="inlineStr">
        <is>
          <t>Designed</t>
        </is>
      </c>
      <c r="F4" s="5" t="inlineStr">
        <is>
          <t>Approved</t>
        </is>
      </c>
      <c r="G4" s="5" t="inlineStr">
        <is>
          <t>Scheduled</t>
        </is>
      </c>
      <c r="H4" s="5" t="inlineStr">
        <is>
          <t>Posted</t>
        </is>
      </c>
      <c r="I4" s="5" t="inlineStr">
        <is>
          <t>Paused</t>
        </is>
      </c>
      <c r="J4" s="5" t="inlineStr">
        <is>
          <t>Total</t>
        </is>
      </c>
      <c r="K4" s="5" t="inlineStr">
        <is>
          <t>Posted %</t>
        </is>
      </c>
    </row>
    <row r="5">
      <c r="A5" s="8" t="inlineStr">
        <is>
          <t>Mehnaz</t>
        </is>
      </c>
      <c r="B5" s="26">
        <f>COUNTIFS(Calendar!$W:$W,"Mehnaz",Calendar!$X:$X,"Idea")</f>
        <v/>
      </c>
      <c r="C5" s="26">
        <f>COUNTIFS(Calendar!$W:$W,"Mehnaz",Calendar!$X:$X,"Scripted")</f>
        <v/>
      </c>
      <c r="D5" s="26">
        <f>COUNTIFS(Calendar!$W:$W,"Mehnaz",Calendar!$X:$X,"Shot")</f>
        <v/>
      </c>
      <c r="E5" s="26">
        <f>COUNTIFS(Calendar!$W:$W,"Mehnaz",Calendar!$X:$X,"Designed")</f>
        <v/>
      </c>
      <c r="F5" s="26">
        <f>COUNTIFS(Calendar!$W:$W,"Mehnaz",Calendar!$X:$X,"Approved")</f>
        <v/>
      </c>
      <c r="G5" s="26">
        <f>COUNTIFS(Calendar!$W:$W,"Mehnaz",Calendar!$X:$X,"Scheduled")</f>
        <v/>
      </c>
      <c r="H5" s="26">
        <f>COUNTIFS(Calendar!$W:$W,"Mehnaz",Calendar!$X:$X,"Posted")</f>
        <v/>
      </c>
      <c r="I5" s="26">
        <f>COUNTIFS(Calendar!$W:$W,"Mehnaz",Calendar!$X:$X,"Paused")</f>
        <v/>
      </c>
      <c r="J5" s="8">
        <f>SUM(B5:I5)</f>
        <v/>
      </c>
      <c r="K5" s="27">
        <f>IF(J5=0,0,H5/J5)</f>
        <v/>
      </c>
    </row>
    <row r="6">
      <c r="A6" s="8" t="inlineStr">
        <is>
          <t>Bilal</t>
        </is>
      </c>
      <c r="B6" s="26">
        <f>COUNTIFS(Calendar!$W:$W,"Bilal",Calendar!$X:$X,"Idea")</f>
        <v/>
      </c>
      <c r="C6" s="26">
        <f>COUNTIFS(Calendar!$W:$W,"Bilal",Calendar!$X:$X,"Scripted")</f>
        <v/>
      </c>
      <c r="D6" s="26">
        <f>COUNTIFS(Calendar!$W:$W,"Bilal",Calendar!$X:$X,"Shot")</f>
        <v/>
      </c>
      <c r="E6" s="26">
        <f>COUNTIFS(Calendar!$W:$W,"Bilal",Calendar!$X:$X,"Designed")</f>
        <v/>
      </c>
      <c r="F6" s="26">
        <f>COUNTIFS(Calendar!$W:$W,"Bilal",Calendar!$X:$X,"Approved")</f>
        <v/>
      </c>
      <c r="G6" s="26">
        <f>COUNTIFS(Calendar!$W:$W,"Bilal",Calendar!$X:$X,"Scheduled")</f>
        <v/>
      </c>
      <c r="H6" s="26">
        <f>COUNTIFS(Calendar!$W:$W,"Bilal",Calendar!$X:$X,"Posted")</f>
        <v/>
      </c>
      <c r="I6" s="26">
        <f>COUNTIFS(Calendar!$W:$W,"Bilal",Calendar!$X:$X,"Paused")</f>
        <v/>
      </c>
      <c r="J6" s="8">
        <f>SUM(B6:I6)</f>
        <v/>
      </c>
      <c r="K6" s="27">
        <f>IF(J6=0,0,H6/J6)</f>
        <v/>
      </c>
    </row>
    <row r="7">
      <c r="A7" s="8" t="inlineStr">
        <is>
          <t>Musa</t>
        </is>
      </c>
      <c r="B7" s="26">
        <f>COUNTIFS(Calendar!$W:$W,"Musa",Calendar!$X:$X,"Idea")</f>
        <v/>
      </c>
      <c r="C7" s="26">
        <f>COUNTIFS(Calendar!$W:$W,"Musa",Calendar!$X:$X,"Scripted")</f>
        <v/>
      </c>
      <c r="D7" s="26">
        <f>COUNTIFS(Calendar!$W:$W,"Musa",Calendar!$X:$X,"Shot")</f>
        <v/>
      </c>
      <c r="E7" s="26">
        <f>COUNTIFS(Calendar!$W:$W,"Musa",Calendar!$X:$X,"Designed")</f>
        <v/>
      </c>
      <c r="F7" s="26">
        <f>COUNTIFS(Calendar!$W:$W,"Musa",Calendar!$X:$X,"Approved")</f>
        <v/>
      </c>
      <c r="G7" s="26">
        <f>COUNTIFS(Calendar!$W:$W,"Musa",Calendar!$X:$X,"Scheduled")</f>
        <v/>
      </c>
      <c r="H7" s="26">
        <f>COUNTIFS(Calendar!$W:$W,"Musa",Calendar!$X:$X,"Posted")</f>
        <v/>
      </c>
      <c r="I7" s="26">
        <f>COUNTIFS(Calendar!$W:$W,"Musa",Calendar!$X:$X,"Paused")</f>
        <v/>
      </c>
      <c r="J7" s="8">
        <f>SUM(B7:I7)</f>
        <v/>
      </c>
      <c r="K7" s="27">
        <f>IF(J7=0,0,H7/J7)</f>
        <v/>
      </c>
    </row>
    <row r="8">
      <c r="A8" s="8" t="inlineStr">
        <is>
          <t>Abdul Rehman</t>
        </is>
      </c>
      <c r="B8" s="26">
        <f>COUNTIFS(Calendar!$W:$W,"Abdul Rehman",Calendar!$X:$X,"Idea")</f>
        <v/>
      </c>
      <c r="C8" s="26">
        <f>COUNTIFS(Calendar!$W:$W,"Abdul Rehman",Calendar!$X:$X,"Scripted")</f>
        <v/>
      </c>
      <c r="D8" s="26">
        <f>COUNTIFS(Calendar!$W:$W,"Abdul Rehman",Calendar!$X:$X,"Shot")</f>
        <v/>
      </c>
      <c r="E8" s="26">
        <f>COUNTIFS(Calendar!$W:$W,"Abdul Rehman",Calendar!$X:$X,"Designed")</f>
        <v/>
      </c>
      <c r="F8" s="26">
        <f>COUNTIFS(Calendar!$W:$W,"Abdul Rehman",Calendar!$X:$X,"Approved")</f>
        <v/>
      </c>
      <c r="G8" s="26">
        <f>COUNTIFS(Calendar!$W:$W,"Abdul Rehman",Calendar!$X:$X,"Scheduled")</f>
        <v/>
      </c>
      <c r="H8" s="26">
        <f>COUNTIFS(Calendar!$W:$W,"Abdul Rehman",Calendar!$X:$X,"Posted")</f>
        <v/>
      </c>
      <c r="I8" s="26">
        <f>COUNTIFS(Calendar!$W:$W,"Abdul Rehman",Calendar!$X:$X,"Paused")</f>
        <v/>
      </c>
      <c r="J8" s="8">
        <f>SUM(B8:I8)</f>
        <v/>
      </c>
      <c r="K8" s="27">
        <f>IF(J8=0,0,H8/J8)</f>
        <v/>
      </c>
    </row>
    <row r="9">
      <c r="A9" s="8" t="inlineStr">
        <is>
          <t>Usman</t>
        </is>
      </c>
      <c r="B9" s="26">
        <f>COUNTIFS(Calendar!$W:$W,"Usman",Calendar!$X:$X,"Idea")</f>
        <v/>
      </c>
      <c r="C9" s="26">
        <f>COUNTIFS(Calendar!$W:$W,"Usman",Calendar!$X:$X,"Scripted")</f>
        <v/>
      </c>
      <c r="D9" s="26">
        <f>COUNTIFS(Calendar!$W:$W,"Usman",Calendar!$X:$X,"Shot")</f>
        <v/>
      </c>
      <c r="E9" s="26">
        <f>COUNTIFS(Calendar!$W:$W,"Usman",Calendar!$X:$X,"Designed")</f>
        <v/>
      </c>
      <c r="F9" s="26">
        <f>COUNTIFS(Calendar!$W:$W,"Usman",Calendar!$X:$X,"Approved")</f>
        <v/>
      </c>
      <c r="G9" s="26">
        <f>COUNTIFS(Calendar!$W:$W,"Usman",Calendar!$X:$X,"Scheduled")</f>
        <v/>
      </c>
      <c r="H9" s="26">
        <f>COUNTIFS(Calendar!$W:$W,"Usman",Calendar!$X:$X,"Posted")</f>
        <v/>
      </c>
      <c r="I9" s="26">
        <f>COUNTIFS(Calendar!$W:$W,"Usman",Calendar!$X:$X,"Paused")</f>
        <v/>
      </c>
      <c r="J9" s="8">
        <f>SUM(B9:I9)</f>
        <v/>
      </c>
      <c r="K9" s="27">
        <f>IF(J9=0,0,H9/J9)</f>
        <v/>
      </c>
    </row>
    <row r="10">
      <c r="A10" s="8" t="inlineStr">
        <is>
          <t>Unassigned</t>
        </is>
      </c>
      <c r="B10" s="26">
        <f>COUNTIF(Calendar!$X:$X,"Idea")-SUM(B5:B9)</f>
        <v/>
      </c>
      <c r="C10" s="26">
        <f>COUNTIF(Calendar!$X:$X,"Scripted")-SUM(C5:C9)</f>
        <v/>
      </c>
      <c r="D10" s="26">
        <f>COUNTIF(Calendar!$X:$X,"Shot")-SUM(D5:D9)</f>
        <v/>
      </c>
      <c r="E10" s="26">
        <f>COUNTIF(Calendar!$X:$X,"Designed")-SUM(E5:E9)</f>
        <v/>
      </c>
      <c r="F10" s="26">
        <f>COUNTIF(Calendar!$X:$X,"Approved")-SUM(F5:F9)</f>
        <v/>
      </c>
      <c r="G10" s="26">
        <f>COUNTIF(Calendar!$X:$X,"Scheduled")-SUM(G5:G9)</f>
        <v/>
      </c>
      <c r="H10" s="26">
        <f>COUNTIF(Calendar!$X:$X,"Posted")-SUM(H5:H9)</f>
        <v/>
      </c>
      <c r="I10" s="26">
        <f>COUNTIF(Calendar!$X:$X,"Paused")-SUM(I5:I9)</f>
        <v/>
      </c>
      <c r="J10" s="8">
        <f>SUM(B10:I10)</f>
        <v/>
      </c>
      <c r="K10" s="27">
        <f>IF(J10=0,0,H10/J10)</f>
        <v/>
      </c>
    </row>
    <row r="11">
      <c r="A11" s="8" t="inlineStr">
        <is>
          <t>All posts</t>
        </is>
      </c>
      <c r="B11" s="8">
        <f>SUM(B5:B10)</f>
        <v/>
      </c>
      <c r="C11" s="8">
        <f>SUM(C5:C10)</f>
        <v/>
      </c>
      <c r="D11" s="8">
        <f>SUM(D5:D10)</f>
        <v/>
      </c>
      <c r="E11" s="8">
        <f>SUM(E5:E10)</f>
        <v/>
      </c>
      <c r="F11" s="8">
        <f>SUM(F5:F10)</f>
        <v/>
      </c>
      <c r="G11" s="8">
        <f>SUM(G5:G10)</f>
        <v/>
      </c>
      <c r="H11" s="8">
        <f>SUM(H5:H10)</f>
        <v/>
      </c>
      <c r="I11" s="8">
        <f>SUM(I5:I10)</f>
        <v/>
      </c>
      <c r="J11" s="8">
        <f>SUM(J5:J10)</f>
        <v/>
      </c>
    </row>
    <row r="13">
      <c r="A13" s="11" t="inlineStr">
        <is>
          <t>Team: Mehnaz, Bilal, Musa, Abdul Rehman, Usman. Add a name to S.TEAM in strategy.py to extend the dropdowns and this board.</t>
        </is>
      </c>
    </row>
  </sheetData>
  <conditionalFormatting sqref="B5:I10">
    <cfRule type="expression" priority="1" dxfId="2">
      <formula>B5&gt;0</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
  <sheetViews>
    <sheetView showGridLines="0" workbookViewId="0">
      <selection activeCell="A1" sqref="A1"/>
    </sheetView>
  </sheetViews>
  <sheetFormatPr baseColWidth="8" defaultRowHeight="15"/>
  <cols>
    <col width="34" customWidth="1" min="1" max="1"/>
    <col width="34" customWidth="1" min="2" max="2"/>
    <col width="34" customWidth="1" min="3" max="3"/>
    <col width="34" customWidth="1" min="4" max="4"/>
    <col width="34" customWidth="1" min="5" max="5"/>
    <col width="34" customWidth="1" min="6" max="6"/>
    <col width="34" customWidth="1" min="7" max="7"/>
  </cols>
  <sheetData>
    <row r="1">
      <c r="A1" s="1" t="inlineStr">
        <is>
          <t>November 2026 at a glance</t>
        </is>
      </c>
    </row>
    <row r="2">
      <c r="A2" s="2" t="inlineStr">
        <is>
          <t>Saudi week: Sunday-Thursday work, Friday-Saturday weekend. Bold = moment of the day.</t>
        </is>
      </c>
    </row>
    <row r="4">
      <c r="A4" s="5" t="inlineStr">
        <is>
          <t>Sunday</t>
        </is>
      </c>
      <c r="B4" s="5" t="inlineStr">
        <is>
          <t>Monday</t>
        </is>
      </c>
      <c r="C4" s="5" t="inlineStr">
        <is>
          <t>Tuesday</t>
        </is>
      </c>
      <c r="D4" s="5" t="inlineStr">
        <is>
          <t>Wednesday</t>
        </is>
      </c>
      <c r="E4" s="5" t="inlineStr">
        <is>
          <t>Thursday</t>
        </is>
      </c>
      <c r="F4" s="5" t="inlineStr">
        <is>
          <t>Friday</t>
        </is>
      </c>
      <c r="G4" s="5" t="inlineStr">
        <is>
          <t>Saturday</t>
        </is>
      </c>
    </row>
    <row r="5" ht="190" customHeight="1">
      <c r="A5" s="28" t="inlineStr">
        <is>
          <t>1 Nov — Brand launch
IN · Reel · Launch film: Every horizon, within reach
TI · Video · POV: you said it once and it just happened
X  · Post · Launch post
LI · Image · Mada Trips opens its doors</t>
        </is>
      </c>
      <c r="B5" s="28" t="inlineStr">
        <is>
          <t>2 Nov — Launch week
IN · Carousel · 9 services. 1 call.
TI · Video · Schengen 5-year visa for Saudis
X  · Thread · Schengen 5-year visa thread</t>
        </is>
      </c>
      <c r="C5" s="28" t="inlineStr">
        <is>
          <t>3 Nov — Launch week
IN · Static · A note from our founder
TI · Video · 5 things nobody tells you about Riyadh Season
X  · Post · Disruption help line
LI · Document · Hosting international delegates in Riyadh: the checklist</t>
        </is>
      </c>
      <c r="D5" s="28" t="inlineStr">
        <is>
          <t>4 Nov — AlUla Skies Festival 6-15 Nov
IN · Reel · One Call #1: three rooms for AlUla Skies
TI · Video · AlUla Skies Festival: what to do
X  · Post · Liverpool in Istanbul tonight</t>
        </is>
      </c>
      <c r="E5" s="28" t="inlineStr">
        <is>
          <t>5 Nov — Riyadh Season, AlUla Skies, WWE Crown Jewel (7 Nov)
IN · Carousel · Weekend Radar #1
IN · Reel · Fly For It: Arsenal v Real Madrid, London, 9 Dec
TI · Video · Riyadh Season zones in 60 seconds
TI · Photo · Rate my itinerary: 7 days in Japan
X  · Thread · Weekend Radar on X</t>
        </is>
      </c>
      <c r="F5" s="29" t="inlineStr">
        <is>
          <t>6 Nov — AlUla Skies opening day
IN · Reel · 06:00 in AlUla (balloon ASMR)
TI · Video · Global Village: the 1h50 weekend
X  · Post · AlUla Skies opens today</t>
        </is>
      </c>
      <c r="G5" s="29" t="inlineStr">
        <is>
          <t>7 Nov — WWE Crown Jewel (7 Nov)
IN · Carousel · Big night in Riyadh: the stress-free plan
TI · Video · Riyadh tonight
X  · Post · Crown Jewel night tip</t>
        </is>
      </c>
    </row>
    <row r="6" ht="190" customHeight="1">
      <c r="A6" s="28" t="inlineStr">
        <is>
          <t>8 Nov — Global events Nov-Dec
IN · Reel · Concierge Confessions #1: the 3am call
IN · Carousel · World Radar #1: worth flying for, Nov-Dec
TI · Video · UK ETA for Saudis
X  · Thread · UK ETA thread
X  · Thread · World Radar #1 on X
LI · Document · Field Notes #1: a 200-person delegation, the 12-week timeline</t>
        </is>
      </c>
      <c r="B6" s="28" t="inlineStr">
        <is>
          <t>9 Nov — Lapland / aurora season
IN · Carousel · No visa (or almost) for Saudi passports this winter
TI · Video · Northern lights this winter: Lapland
X  · Post · Stargazing nudge</t>
        </is>
      </c>
      <c r="C6" s="28" t="inlineStr">
        <is>
          <t>10 Nov — Azerbaijan visa-free window (to 15 Feb 2027)
IN · Reel · Behind the Curtain #1: an event build in 30 seconds
TI · Photo · What 5 days in Baku &amp; Shahdag actually cost
X  · Post · 11.11 teaser
LI · Post · Hiring skilled crews in KSA: what actually takes time</t>
        </is>
      </c>
      <c r="D6" s="28" t="inlineStr">
        <is>
          <t>11 Nov — 11.11 Singles Day / ~1 Jumada II
IN · Static · 11.11: 11 bookings, 11 upgrades
TI · Video · 11.11: what an 'upgrade' means
X  · Post · 11.11 live</t>
        </is>
      </c>
      <c r="E6" s="28" t="inlineStr">
        <is>
          <t>12 Nov — Vienna Schönbrunn market from 6 Nov · Rathausplatz ~13 Nov
IN · Carousel · Weekend Radar #2
IN · Reel · Vienna in winter: 3 days
TI · Video · Europe this winter: 5 cities ranked for families
TI · Video · Reply: how long does a Schengen visa take?
X  · Thread · Europe's winter markets 2026: opening dates
LI · Post · Why we answer at 3 a.m.</t>
        </is>
      </c>
      <c r="F6" s="29" t="inlineStr">
        <is>
          <t>13 Nov — World Kindness Day (13 Nov)
IN · Reel · Small things we do that nobody asks for
TI · Video · Things we do without being asked
X  · Post · Vienna's main winter market opens today
X  · Post · World Kindness Day question</t>
        </is>
      </c>
      <c r="G6" s="29" t="inlineStr">
        <is>
          <t>14 Nov — School autumn break 20-28 Nov
IN · Carousel · Autumn break: 6 trips without a long flight
TI · Video · Autumn break in 6 days: 5 nearby escapes
X  · Post · Autumn break countdown</t>
        </is>
      </c>
    </row>
    <row r="7" ht="190" customHeight="1">
      <c r="A7" s="28" t="inlineStr">
        <is>
          <t>15 Nov — Saudia RUH-NRT nonstop from 17 Nov · Kyoto foliage peak late Nov
IN · Reel · Japan is now 10 hours away
TI · Video · Where to see the meteors near Riyadh
X  · Post · Leonids alert
LI · Document · Cityscape Global week: visitor logistics</t>
        </is>
      </c>
      <c r="B7" s="28" t="inlineStr">
        <is>
          <t>16 Nov — International Day for Tolerance (16 Nov) · Cityscape visitors
IN · Carousel · Hosting guests from abroad: a Saudi hospitality guide
TI · Video · Saudi coffee etiquette in 30 seconds
X  · Thread · Cityscape Global: visitor tips</t>
        </is>
      </c>
      <c r="C7" s="28" t="inlineStr">
        <is>
          <t>17 Nov — Autumn break
IN · Reel · One Call #2: a family of 7, 48 hours to plan
TI · Video · Japan nonstop starts today: 5 things to know
X  · Post · Japan route news
X  · Poll · Autumn break: where?
LI · Document · Field Notes #2: why delegates remember logistics, not keynotes</t>
        </is>
      </c>
      <c r="D7" s="28" t="inlineStr">
        <is>
          <t>18 Nov — Lufthansa's planned return (18 Nov)
IN · Static · Schengen document checklist (save-worthy)
TI · Video · US visa: book your interview early
X  · Post · Routes update (conditional)</t>
        </is>
      </c>
      <c r="E7" s="28" t="inlineStr">
        <is>
          <t>19 Nov — School break starts 20 Nov
IN · Carousel · Weekend Radar #3: break edition
IN · Reel · London in winter: ETA + Winter Wonderland + 4 more
TI · Video · Last workday before the break
TI · Photo · Airport-day checklist
X  · Post · Last-minute break trips
LI · Image · Horizon Keepers #1: meet our visa desk</t>
        </is>
      </c>
      <c r="F7" s="30" t="inlineStr">
        <is>
          <t>20 Nov — Autumn break starts 20 Nov
IN · Reel · Break mode: ON
TI · Video · Muscat in 48 hours
X  · Post · Safe travels + 24/7 line</t>
        </is>
      </c>
      <c r="G7" s="30" t="inlineStr">
        <is>
          <t>21 Nov — Desert camping season · break weekend
IN · Carousel · Kashta season: the desert camp checklist
TI · Video · Ski season opens: Alps vs Gudauri vs Uludağ
X  · Poll · Winter sun: which one?</t>
        </is>
      </c>
    </row>
    <row r="8" ht="190" customHeight="1">
      <c r="A8" s="30" t="inlineStr">
        <is>
          <t>22 Nov — Global events Dec-Feb
IN · Reel · Concierge Confessions #2: the 2am rebooking
IN · Carousel · World Radar #2: Dec-Feb
TI · Video · Istanbul with family: 4 days that work
X  · Thread · World Radar #2 on X
LI · Document · Field Notes #3: 5 travel-policy clauses that save money in 2027</t>
        </is>
      </c>
      <c r="B8" s="30" t="inlineStr">
        <is>
          <t>23 Nov — Trend: destination dupes
IN · Carousel · Destination dupes: love X? try Y
TI · Video · Dupes: Switzerland? Try this
X  · Thread · Visa-free reminders: China &amp; Russia</t>
        </is>
      </c>
      <c r="C8" s="30" t="inlineStr">
        <is>
          <t>24 Nov — Trend: day in the life / Reali-TEA
IN · Reel · Behind the Curtain #2: a gala run to the second
TI · Video · Day in the life of a Mada concierge
X  · Post · White Friday teaser
X  · Post · UCL tonight, and the big one in 2 weeks
LI · Image · Specialist supply: the expert you couldn't find</t>
        </is>
      </c>
      <c r="D8" s="30" t="inlineStr">
        <is>
          <t>25 Nov — White Friday countdown
IN · Static · White Friday: 2 days
IN · Reel · Fly For It: Shakira at the Pyramids + Cairo in 48h
TI · Video · Travel myths: real or fake?
X  · Thread · Booking myths thread
LI · Post · GITEX Global at Expo City Dubai: team travel brief</t>
        </is>
      </c>
      <c r="E8" s="30" t="inlineStr">
        <is>
          <t>26 Nov — F1 Qatar 27-29 Nov · White Friday
IN · Carousel · Weekend Radar #4
IN · Reel · White Friday tomorrow: how it works
TI · Video · F1 Qatar weekend: Riyadh to Doha
TI · Video · White Friday preview
X  · Post · White Friday rules
LI · Post · Plan Q1 2027 events at 2026 rates</t>
        </is>
      </c>
      <c r="F8" s="30" t="inlineStr">
        <is>
          <t>27 Nov — White Friday 27 Nov
IN · Carousel · White Friday: the offer
IN · Reel · White Friday: final hours
TI · LIVE · White Friday LIVE: Ask the concierge
X  · Post · White Friday is live</t>
        </is>
      </c>
      <c r="G8" s="30" t="inlineStr">
        <is>
          <t>28 Nov — End of autumn break
IN · Reel · Break recap: where our clients went
TI · Video · Last day of the break mood
TI · Video · The Super Cup moves to Istanbul
X  · Post · How was your trip?</t>
        </is>
      </c>
    </row>
    <row r="9" ht="190" customHeight="1">
      <c r="A9" s="28" t="inlineStr">
        <is>
          <t>29 Nov — 1 Rajab 1448 ≈ 10 Dec 2026
IN · Carousel · Rajab starts 10 Dec: plan your Umrah calmly
IN · Carousel · Winter Escapes: snow, sun or city for the 8 Jan break
TI · Video · Umrah, step by step #1: before you go
X  · Post · Ramadan Umrah: book early
LI · Post · Our first month, in numbers</t>
        </is>
      </c>
      <c r="B9" s="28" t="inlineStr">
        <is>
          <t>30 Nov — December preview
IN · Reel · December on the horizon
TI · Video · 5 December dates abroad to save
X  · Post · Cyber Monday + December</t>
        </is>
      </c>
    </row>
    <row r="11">
      <c r="A11" s="11" t="inlineStr">
        <is>
          <t>Shaded gold = school autumn break (20-28 Nov). IG = Instagram · TI = TikTok · X = X · LI = LinkedIn.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8"/>
  <sheetViews>
    <sheetView showGridLines="0" workbookViewId="0">
      <selection activeCell="A1" sqref="A1"/>
    </sheetView>
  </sheetViews>
  <sheetFormatPr baseColWidth="8" defaultRowHeight="15"/>
  <cols>
    <col width="14" customWidth="1" min="1" max="1"/>
    <col width="30" customWidth="1" min="2" max="2"/>
    <col width="28" customWidth="1" min="3" max="3"/>
    <col width="28" customWidth="1" min="4" max="4"/>
    <col width="28" customWidth="1" min="5" max="5"/>
    <col width="60" customWidth="1" min="6" max="6"/>
    <col width="60" customWidth="1" min="7" max="7"/>
  </cols>
  <sheetData>
    <row r="1">
      <c r="A1" s="1" t="inlineStr">
        <is>
          <t>Platform playbook</t>
        </is>
      </c>
    </row>
    <row r="2">
      <c r="A2" s="2" t="inlineStr">
        <is>
          <t>Each platform has its own job. Same idea, native execution, never a cross-post.</t>
        </is>
      </c>
    </row>
    <row r="4">
      <c r="A4" s="5" t="inlineStr">
        <is>
          <t>Platform</t>
        </is>
      </c>
      <c r="B4" s="5" t="inlineStr">
        <is>
          <t>Role</t>
        </is>
      </c>
      <c r="C4" s="5" t="inlineStr">
        <is>
          <t>Cadence</t>
        </is>
      </c>
      <c r="D4" s="5" t="inlineStr">
        <is>
          <t>Language</t>
        </is>
      </c>
      <c r="E4" s="5" t="inlineStr">
        <is>
          <t>Best times (AST)</t>
        </is>
      </c>
      <c r="F4" s="5" t="inlineStr">
        <is>
          <t>Formats that work</t>
        </is>
      </c>
      <c r="G4" s="5" t="inlineStr">
        <is>
          <t>Rules</t>
        </is>
      </c>
    </row>
    <row r="5">
      <c r="A5" s="31" t="inlineStr">
        <is>
          <t>Instagram</t>
        </is>
      </c>
      <c r="B5" s="31" t="inlineStr">
        <is>
          <t>Brand home and conversion. Discovery through Reels, saves and shares through carousels.</t>
        </is>
      </c>
      <c r="C5" s="31" t="inlineStr">
        <is>
          <t>1-2 feed posts a day (35 this month: 18 Reels, 13 carousels, 4 statics) + Stories every day</t>
        </is>
      </c>
      <c r="D5" s="31" t="inlineStr">
        <is>
          <t>Arabic first, with English underneath (bilingual captions). On-screen text in Arabic, with English where the post is for visitors.</t>
        </is>
      </c>
      <c r="E5" s="31" t="inlineStr">
        <is>
          <t>Weekdays 20:30. Thursday 19:30 (Weekend Radar) + 21:30. Weekend evenings 20:00-21:00. Avoid the Friday prayer window (11:30-13:30).</t>
        </is>
      </c>
      <c r="F5" s="31" t="inlineStr">
        <is>
          <t>• Reels 20-45s (up to 3 min allowed): discovery. Instagram ranks on watch time, likes per reach and sends per reach (Mosseri, Jan 2025)
• Carousels 6-10 slides, 4:5 or 3:4: the highest engagement per reach (6.9% vs Reels 3.3%, Buffer 2026). Use for itineraries, checklists, radars
• Statics: offers, quotes and save-worthy checklists only
• Stories daily: polls, question box, BTS, countdowns. Stories don't need to be polished
• Trial Reels: test 2 hooks for the same idea on non-followers before posting to the grid</t>
        </is>
      </c>
      <c r="G5" s="31" t="inlineStr">
        <is>
          <t>• Max 5 hashtags (cap announced Dec 2025). Use 2-3 topic tags + #مادا
• Original footage only. Since 30 Apr 2026 Instagram stops recommending accounts that mostly repost. Work with creators through Collab posts
• Grid previews at 3:4, so keep key text in the centre of 4:5 images
• Safe zone on Reels: no text in the top ~250px or bottom ~340px
• Put the keyword in the first caption line and in the on-screen text</t>
        </is>
      </c>
    </row>
    <row r="6">
      <c r="A6" s="31" t="inlineStr">
        <is>
          <t>TikTok</t>
        </is>
      </c>
      <c r="B6" s="31" t="inlineStr">
        <is>
          <t>Reach and search. The biggest platform in KSA (38.6M ad reach, 154% of adults, highest TikTok penetration in the world).</t>
        </is>
      </c>
      <c r="C6" s="31" t="inlineStr">
        <is>
          <t>1-2 videos a day (34 this month), plus video replies to comments</t>
        </is>
      </c>
      <c r="D6" s="31" t="inlineStr">
        <is>
          <t>Saudi Arabic (white Najdi/Khaleeji) in voice and on screen. One English-led video a week for expats and visitors.</t>
        </is>
      </c>
      <c r="E6" s="31" t="inlineStr">
        <is>
          <t>21:00 main slot, 22:00 second slot on Thursdays. 20:00-23:00 is the modelled KSA peak.</t>
        </is>
      </c>
      <c r="F6" s="31" t="inlineStr">
        <is>
          <t>• Talking-head explainers 40-60s (Visa in 60). Videos over 60s get 43% more reach (Buffer, 1.1M videos)
• Relatable trend videos 15-20s (Reali-TEA, TikTok Next 2026)
• Photo Mode carousels for itineraries, costs and checklists. On-slide text is searchable
• Reply-to-comment videos: free content ideas and community proof
• LIVE once the account has 1,000 followers</t>
        </is>
      </c>
      <c r="G6" s="31" t="inlineStr">
        <is>
          <t>• Say the keyword in the first 3 seconds, show it on screen, write it in the caption's first line and use it in 1-2 hashtags. TikTok search reads all four
• Max 5 hashtags (cap since mid-2025)
• Hook in the first 2 seconds: text overlay + movement. Target a 3-second hold of 35%+
• Burn in captions. Most viewers watch muted
• Reply to comments for the first hour after posting</t>
        </is>
      </c>
    </row>
    <row r="7">
      <c r="A7" s="31" t="inlineStr">
        <is>
          <t>X (Twitter)</t>
        </is>
      </c>
      <c r="B7" s="31" t="inlineStr">
        <is>
          <t>News, visa updates, live moments and fast customer care. Where Saudi conversations happen in real time.</t>
        </is>
      </c>
      <c r="C7" s="31" t="inlineStr">
        <is>
          <t>1 planned post a day (30 this month) + 1-3 reactive posts and replies a day</t>
        </is>
      </c>
      <c r="D7" s="31" t="inlineStr">
        <is>
          <t>Arabic. Short, direct, dialect-friendly.</t>
        </is>
      </c>
      <c r="E7" s="31" t="inlineStr">
        <is>
          <t>12:00-13:00 for useful posts and threads, 18:00-21:30 for live moments.</t>
        </is>
      </c>
      <c r="F7" s="31" t="inlineStr">
        <is>
          <t>• Text posts and threads: the highest median engagement on X (3.56%, Buffer 2026)
• Polls for light engagement
• Native images (the Weekend Radar cover). Avoid bare links (link posts have the lowest engagement: 2.25%)</t>
        </is>
      </c>
      <c r="G7" s="31" t="inlineStr">
        <is>
          <t>• Space posts at least 3 hours apart. X's ranker (open-sourced Jan 2026) downranks the 3rd-5th post from the same author in a short window
• Get X Premium (Basic) for the company account. Verified accounts have a higher score ceiling
• Reply to every reply in the first hour. Replies feed the ranking
• Never argue in public. Move complaints to DM within 15 minutes</t>
        </is>
      </c>
    </row>
    <row r="8">
      <c r="A8" s="31" t="inlineStr">
        <is>
          <t>LinkedIn</t>
        </is>
      </c>
      <c r="B8" s="31" t="inlineStr">
        <is>
          <t>B2B credibility: corporates, delegations, events, manpower, specialists, IT. Lighter touch.</t>
        </is>
      </c>
      <c r="C8" s="31" t="inlineStr">
        <is>
          <t>3 posts a week (12 this month): Sunday, Tuesday, Thursday</t>
        </is>
      </c>
      <c r="D8" s="31" t="inlineStr">
        <is>
          <t>English (Arabic for national moments).</t>
        </is>
      </c>
      <c r="E8" s="31" t="inlineStr">
        <is>
          <t>09:30 on Saudi workdays (Sunday-Thursday).</t>
        </is>
      </c>
      <c r="F8" s="31" t="inlineStr">
        <is>
          <t>• Document (PDF) carousels: the top LinkedIn format in 2026 (Buffer and Socialinsider)
• Founder-voice text posts with one real photo
• Team spotlights (Horizon Keepers)</t>
        </is>
      </c>
      <c r="G8" s="31" t="inlineStr">
        <is>
          <t>• Teach something in every post (Field Notes). LinkedIn's 2026 ranking cuts low-substance posts and engagement bait
• The founder posts and the company page reshares. Personal profiles reach further
• Ask the team to comment with substance in the first hour, never just 'congrats'
• Put links in the post only when needed. Reach drops with external links (vendor estimates of 25-60%)</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35"/>
  <sheetViews>
    <sheetView showGridLines="0" workbookViewId="0">
      <selection activeCell="A1" sqref="A1"/>
    </sheetView>
  </sheetViews>
  <sheetFormatPr baseColWidth="8" defaultRowHeight="15"/>
  <cols>
    <col width="30" customWidth="1" min="1" max="1"/>
    <col width="26" customWidth="1" min="2" max="2"/>
    <col width="18" customWidth="1" min="3" max="3"/>
    <col width="80" customWidth="1" min="4" max="4"/>
    <col width="40" customWidth="1" min="5" max="5"/>
  </cols>
  <sheetData>
    <row r="1">
      <c r="A1" s="1" t="inlineStr">
        <is>
          <t>Content pillars and recurring series</t>
        </is>
      </c>
    </row>
    <row r="4">
      <c r="A4" s="5" t="inlineStr">
        <is>
          <t>Code</t>
        </is>
      </c>
      <c r="B4" s="5" t="inlineStr">
        <is>
          <t>Pillar</t>
        </is>
      </c>
      <c r="C4" s="5" t="inlineStr">
        <is>
          <t>Target share</t>
        </is>
      </c>
      <c r="D4" s="5" t="inlineStr">
        <is>
          <t>What goes here</t>
        </is>
      </c>
      <c r="E4" s="5" t="inlineStr">
        <is>
          <t>Series</t>
        </is>
      </c>
    </row>
    <row r="5">
      <c r="A5" s="31" t="inlineStr">
        <is>
          <t>ONE</t>
        </is>
      </c>
      <c r="B5" s="31" t="inlineStr">
        <is>
          <t>One Call</t>
        </is>
      </c>
      <c r="C5" s="31" t="inlineStr">
        <is>
          <t>15%</t>
        </is>
      </c>
      <c r="D5" s="31" t="inlineStr">
        <is>
          <t>The concierge in action: real requests, the 3am rescue, small kind gestures, a day in the life. The human face no competitor shows.</t>
        </is>
      </c>
      <c r="E5" s="31" t="inlineStr">
        <is>
          <t>One Call · Concierge Confessions · Horizon Keepers</t>
        </is>
      </c>
    </row>
    <row r="6">
      <c r="A6" s="31" t="inlineStr">
        <is>
          <t>KNOW</t>
        </is>
      </c>
      <c r="B6" s="31" t="inlineStr">
        <is>
          <t>Know Before You Go</t>
        </is>
      </c>
      <c r="C6" s="31" t="inlineStr">
        <is>
          <t>15%</t>
        </is>
      </c>
      <c r="D6" s="31" t="inlineStr">
        <is>
          <t>Search-led explainers: visas, checklists, myths, Umrah steps. Built to be saved and found in search.</t>
        </is>
      </c>
      <c r="E6" s="31" t="inlineStr">
        <is>
          <t>Visa in 60 · Umrah, Step by Step. Most visa posts serve trips abroad.</t>
        </is>
      </c>
    </row>
    <row r="7">
      <c r="A7" s="31" t="inlineStr">
        <is>
          <t>WORLD</t>
        </is>
      </c>
      <c r="B7" s="31" t="inlineStr">
        <is>
          <t>World Horizons</t>
        </is>
      </c>
      <c r="C7" s="31" t="inlineStr">
        <is>
          <t>25%</t>
        </is>
      </c>
      <c r="D7" s="31" t="inlineStr">
        <is>
          <t>Global trips and events worth flying for: Champions League nights, F1, the Super Cup in Istanbul, Japan nonstop, Europe's winter markets, ski openings, Lapland, Dubai Shopping Festival, winter sun. Sold early, packaged as one call.</t>
        </is>
      </c>
      <c r="E7" s="31" t="inlineStr">
        <is>
          <t>World Radar · Fly For It · Europe in Winter · Winter Escapes</t>
        </is>
      </c>
    </row>
    <row r="8">
      <c r="A8" s="31" t="inlineStr">
        <is>
          <t>HOR</t>
        </is>
      </c>
      <c r="B8" s="31" t="inlineStr">
        <is>
          <t>Saudi &amp; Gulf Horizons</t>
        </is>
      </c>
      <c r="C8" s="31" t="inlineStr">
        <is>
          <t>15%</t>
        </is>
      </c>
      <c r="D8" s="31" t="inlineStr">
        <is>
          <t>Close to home: Riyadh Season, AlUla, kashta season, short GCC hops (Dubai, Doha, Muscat), itineraries and real costs.</t>
        </is>
      </c>
      <c r="E8" s="31" t="inlineStr">
        <is>
          <t>Weekend Radar</t>
        </is>
      </c>
    </row>
    <row r="9">
      <c r="A9" s="31" t="inlineStr">
        <is>
          <t>BIZ</t>
        </is>
      </c>
      <c r="B9" s="31" t="inlineStr">
        <is>
          <t>Events &amp; Business</t>
        </is>
      </c>
      <c r="C9" s="31" t="inlineStr">
        <is>
          <t>10%</t>
        </is>
      </c>
      <c r="D9" s="31" t="inlineStr">
        <is>
          <t>Mada Events craft and B2B: delegations, MICE, manpower, specialists, IT. Mostly LinkedIn, plus one events Reel every two weeks.</t>
        </is>
      </c>
      <c r="E9" s="31" t="inlineStr">
        <is>
          <t>Behind the Curtain · Field Notes</t>
        </is>
      </c>
    </row>
    <row r="10">
      <c r="A10" s="31" t="inlineStr">
        <is>
          <t>MOM</t>
        </is>
      </c>
      <c r="B10" s="31" t="inlineStr">
        <is>
          <t>Moments &amp; Offers</t>
        </is>
      </c>
      <c r="C10" s="31" t="inlineStr">
        <is>
          <t>20%</t>
        </is>
      </c>
      <c r="D10" s="31" t="inlineStr">
        <is>
          <t>The launch, 11.11, World Kindness Day, the break, White Friday, December. Culture and conversion.</t>
        </is>
      </c>
      <c r="E10" s="31" t="inlineStr">
        <is>
          <t>Launch · 11.11 · White Friday</t>
        </is>
      </c>
    </row>
    <row r="12">
      <c r="A12" s="32" t="inlineStr">
        <is>
          <t>Actual mix this month</t>
        </is>
      </c>
    </row>
    <row r="13">
      <c r="A13" s="5" t="inlineStr">
        <is>
          <t>Code</t>
        </is>
      </c>
      <c r="B13" s="5" t="inlineStr">
        <is>
          <t>Pillar</t>
        </is>
      </c>
      <c r="C13" s="5" t="inlineStr">
        <is>
          <t>Posts</t>
        </is>
      </c>
      <c r="D13" s="5" t="inlineStr">
        <is>
          <t>Share</t>
        </is>
      </c>
    </row>
    <row r="14">
      <c r="A14" s="6" t="inlineStr">
        <is>
          <t>ONE</t>
        </is>
      </c>
      <c r="B14" s="6" t="inlineStr">
        <is>
          <t>One Call</t>
        </is>
      </c>
      <c r="C14" s="6">
        <f>COUNTIF(Calendar!$H:$H,B14)</f>
        <v/>
      </c>
      <c r="D14" s="27">
        <f>IF(SUM($C$14:$C$19)=0,0,C14/SUM($C$14:$C$19))</f>
        <v/>
      </c>
    </row>
    <row r="15">
      <c r="A15" s="6" t="inlineStr">
        <is>
          <t>KNOW</t>
        </is>
      </c>
      <c r="B15" s="6" t="inlineStr">
        <is>
          <t>Know Before You Go</t>
        </is>
      </c>
      <c r="C15" s="6">
        <f>COUNTIF(Calendar!$H:$H,B15)</f>
        <v/>
      </c>
      <c r="D15" s="27">
        <f>IF(SUM($C$14:$C$19)=0,0,C15/SUM($C$14:$C$19))</f>
        <v/>
      </c>
    </row>
    <row r="16">
      <c r="A16" s="6" t="inlineStr">
        <is>
          <t>WORLD</t>
        </is>
      </c>
      <c r="B16" s="6" t="inlineStr">
        <is>
          <t>World Horizons</t>
        </is>
      </c>
      <c r="C16" s="6">
        <f>COUNTIF(Calendar!$H:$H,B16)</f>
        <v/>
      </c>
      <c r="D16" s="27">
        <f>IF(SUM($C$14:$C$19)=0,0,C16/SUM($C$14:$C$19))</f>
        <v/>
      </c>
    </row>
    <row r="17">
      <c r="A17" s="6" t="inlineStr">
        <is>
          <t>HOR</t>
        </is>
      </c>
      <c r="B17" s="6" t="inlineStr">
        <is>
          <t>Saudi &amp; Gulf Horizons</t>
        </is>
      </c>
      <c r="C17" s="6">
        <f>COUNTIF(Calendar!$H:$H,B17)</f>
        <v/>
      </c>
      <c r="D17" s="27">
        <f>IF(SUM($C$14:$C$19)=0,0,C17/SUM($C$14:$C$19))</f>
        <v/>
      </c>
    </row>
    <row r="18">
      <c r="A18" s="6" t="inlineStr">
        <is>
          <t>BIZ</t>
        </is>
      </c>
      <c r="B18" s="6" t="inlineStr">
        <is>
          <t>Events &amp; Business</t>
        </is>
      </c>
      <c r="C18" s="6">
        <f>COUNTIF(Calendar!$H:$H,B18)</f>
        <v/>
      </c>
      <c r="D18" s="27">
        <f>IF(SUM($C$14:$C$19)=0,0,C18/SUM($C$14:$C$19))</f>
        <v/>
      </c>
    </row>
    <row r="19">
      <c r="A19" s="6" t="inlineStr">
        <is>
          <t>MOM</t>
        </is>
      </c>
      <c r="B19" s="6" t="inlineStr">
        <is>
          <t>Moments &amp; Offers</t>
        </is>
      </c>
      <c r="C19" s="6">
        <f>COUNTIF(Calendar!$H:$H,B19)</f>
        <v/>
      </c>
      <c r="D19" s="27">
        <f>IF(SUM($C$14:$C$19)=0,0,C19/SUM($C$14:$C$19))</f>
        <v/>
      </c>
    </row>
    <row r="22">
      <c r="A22" s="32" t="inlineStr">
        <is>
          <t>Recurring series</t>
        </is>
      </c>
    </row>
    <row r="23">
      <c r="A23" s="5" t="inlineStr">
        <is>
          <t>Series</t>
        </is>
      </c>
      <c r="B23" s="5" t="inlineStr">
        <is>
          <t>Where</t>
        </is>
      </c>
      <c r="C23" s="5" t="inlineStr">
        <is>
          <t>How often</t>
        </is>
      </c>
      <c r="D23" s="5" t="inlineStr">
        <is>
          <t>Format</t>
        </is>
      </c>
    </row>
    <row r="24">
      <c r="A24" s="31" t="inlineStr">
        <is>
          <t>World Radar / رادار العالم</t>
        </is>
      </c>
      <c r="B24" s="31" t="inlineStr">
        <is>
          <t>IG carousel, X thread</t>
        </is>
      </c>
      <c r="C24" s="31" t="inlineStr">
        <is>
          <t>Every other Sunday (8 &amp; 22 Nov)</t>
        </is>
      </c>
      <c r="D24" s="31" t="inlineStr">
        <is>
          <t>Global events in the next 4-8 weeks that are worth flying for, with flight time from Riyadh, visa need and one tip each. The global twin of Weekend Radar.</t>
        </is>
      </c>
    </row>
    <row r="25">
      <c r="A25" s="31" t="inlineStr">
        <is>
          <t>Fly For It / نسافر لها</t>
        </is>
      </c>
      <c r="B25" s="31" t="inlineStr">
        <is>
          <t>IG Reel, TikTok, X</t>
        </is>
      </c>
      <c r="C25" s="31" t="inlineStr">
        <is>
          <t>2-3 a week</t>
        </is>
      </c>
      <c r="D25" s="31" t="inlineStr">
        <is>
          <t>One global event sold as a ready trip: match/race/concert + flight + hotel + transfers. Posted 3-6 weeks ahead so people can still book.</t>
        </is>
      </c>
    </row>
    <row r="26">
      <c r="A26" s="31" t="inlineStr">
        <is>
          <t>Winter Escapes / مهارب الشتاء</t>
        </is>
      </c>
      <c r="B26" s="31" t="inlineStr">
        <is>
          <t>IG carousel, TikTok</t>
        </is>
      </c>
      <c r="C26" s="31" t="inlineStr">
        <is>
          <t>Weekly from late Nov</t>
        </is>
      </c>
      <c r="D26" s="31" t="inlineStr">
        <is>
          <t>Snow, sun or city for the mid-year school break (from 8 Jan): Alps, Gudauri, Lapland, Japan, Maldives, Phuket, London, Paris sales.</t>
        </is>
      </c>
    </row>
    <row r="27">
      <c r="A27" s="31" t="inlineStr">
        <is>
          <t>One Call / مكالمة وحدة</t>
        </is>
      </c>
      <c r="B27" s="31" t="inlineStr">
        <is>
          <t>IG Reel, then TikTok</t>
        </is>
      </c>
      <c r="C27" s="31" t="inlineStr">
        <is>
          <t>Every 2 weeks</t>
        </is>
      </c>
      <c r="D27" s="31" t="inlineStr">
        <is>
          <t>Split screen: the client's voice note on the left, the concierge solving it on the right, a timer. Ends on the client's reply. The signature format.</t>
        </is>
      </c>
    </row>
    <row r="28">
      <c r="A28" s="31" t="inlineStr">
        <is>
          <t>Visa in 60 / الفيزا بدقيقة</t>
        </is>
      </c>
      <c r="B28" s="31" t="inlineStr">
        <is>
          <t>TikTok, IG, X thread</t>
        </is>
      </c>
      <c r="C28" s="31" t="inlineStr">
        <is>
          <t>Weekly</t>
        </is>
      </c>
      <c r="D28" s="31" t="inlineStr">
        <is>
          <t>A concierge explains one visa topic in 60 seconds. Keyword spoken in the first 3 seconds. The best search driver.</t>
        </is>
      </c>
    </row>
    <row r="29">
      <c r="A29" s="31" t="inlineStr">
        <is>
          <t>Weekend Radar / رادار الويكند</t>
        </is>
      </c>
      <c r="B29" s="31" t="inlineStr">
        <is>
          <t>IG carousel, X thread</t>
        </is>
      </c>
      <c r="C29" s="31" t="inlineStr">
        <is>
          <t>Every Thursday 19:30</t>
        </is>
      </c>
      <c r="D29" s="31" t="inlineStr">
        <is>
          <t>What's on this weekend in Riyadh and nearby, with one tip per event. A habit-forming, save-and-share format.</t>
        </is>
      </c>
    </row>
    <row r="30">
      <c r="A30" s="31" t="inlineStr">
        <is>
          <t>Concierge Confessions / من دفتر الكونسيرج</t>
        </is>
      </c>
      <c r="B30" s="31" t="inlineStr">
        <is>
          <t>IG Reel</t>
        </is>
      </c>
      <c r="C30" s="31" t="inlineStr">
        <is>
          <t>Every 2 weeks</t>
        </is>
      </c>
      <c r="D30" s="31" t="inlineStr">
        <is>
          <t>Storytime about a real (anonymised) case. Calm, human, a little funny.</t>
        </is>
      </c>
    </row>
    <row r="31">
      <c r="A31" s="31" t="inlineStr">
        <is>
          <t>Behind the Curtain / خلف الستارة</t>
        </is>
      </c>
      <c r="B31" s="31" t="inlineStr">
        <is>
          <t>IG Reel, TikTok</t>
        </is>
      </c>
      <c r="C31" s="31" t="inlineStr">
        <is>
          <t>Every 2 weeks</t>
        </is>
      </c>
      <c r="D31" s="31" t="inlineStr">
        <is>
          <t>Event builds, show-caller POV, crew. The craft gap among event companies.</t>
        </is>
      </c>
    </row>
    <row r="32">
      <c r="A32" s="31" t="inlineStr">
        <is>
          <t>Europe in Winter / شتاء أوروبا</t>
        </is>
      </c>
      <c r="B32" s="31" t="inlineStr">
        <is>
          <t>IG Reel, TikTok, X</t>
        </is>
      </c>
      <c r="C32" s="31" t="inlineStr">
        <is>
          <t>Weekly in Nov-Jan</t>
        </is>
      </c>
      <c r="D32" s="31" t="inlineStr">
        <is>
          <t>Winter markets, visas and itineraries for the mid-year break.</t>
        </is>
      </c>
    </row>
    <row r="33">
      <c r="A33" s="31" t="inlineStr">
        <is>
          <t>Field Notes</t>
        </is>
      </c>
      <c r="B33" s="31" t="inlineStr">
        <is>
          <t>LinkedIn document</t>
        </is>
      </c>
      <c r="C33" s="31" t="inlineStr">
        <is>
          <t>Weekly</t>
        </is>
      </c>
      <c r="D33" s="31" t="inlineStr">
        <is>
          <t>One practical B2B lesson: timelines, checklists, policy clauses.</t>
        </is>
      </c>
    </row>
    <row r="34">
      <c r="A34" s="31" t="inlineStr">
        <is>
          <t>Horizon Keepers</t>
        </is>
      </c>
      <c r="B34" s="31" t="inlineStr">
        <is>
          <t>LinkedIn + IG Story</t>
        </is>
      </c>
      <c r="C34" s="31" t="inlineStr">
        <is>
          <t>Monthly</t>
        </is>
      </c>
      <c r="D34" s="31" t="inlineStr">
        <is>
          <t>A team member spotlight. The people behind the plan.</t>
        </is>
      </c>
    </row>
    <row r="35">
      <c r="A35" s="31" t="inlineStr">
        <is>
          <t>Umrah, Step by Step / العمرة خطوة بخطوة</t>
        </is>
      </c>
      <c r="B35" s="31" t="inlineStr">
        <is>
          <t>TikTok, IG</t>
        </is>
      </c>
      <c r="C35" s="31" t="inlineStr">
        <is>
          <t>Weekly from 29 Nov</t>
        </is>
      </c>
      <c r="D35" s="31" t="inlineStr">
        <is>
          <t>Calm, respectful explainers ahead of Rajab and Ramadan. No music, no hard sell.</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RowHeight="15"/>
  <cols>
    <col width="24" customWidth="1" min="1" max="1"/>
    <col width="110" customWidth="1" min="2" max="2"/>
    <col width="50" customWidth="1" min="3" max="3"/>
    <col width="40" customWidth="1" min="4" max="4"/>
  </cols>
  <sheetData>
    <row r="1">
      <c r="A1" s="1" t="inlineStr">
        <is>
          <t>Brand voice, design and profile guidelines</t>
        </is>
      </c>
    </row>
    <row r="4">
      <c r="A4" s="5" t="inlineStr">
        <is>
          <t>Voice &amp; copy</t>
        </is>
      </c>
      <c r="B4" s="5" t="inlineStr">
        <is>
          <t>Guideline</t>
        </is>
      </c>
    </row>
    <row r="5">
      <c r="A5" s="31" t="inlineStr">
        <is>
          <t>We sound like</t>
        </is>
      </c>
      <c r="B5" s="31" t="inlineStr">
        <is>
          <t>A calm, capable host who has already thought of it. Warm, short, specific. Saudi dialect on TikTok and X, polished Arabic on IG, clear English on LinkedIn.</t>
        </is>
      </c>
    </row>
    <row r="6">
      <c r="A6" s="31" t="inlineStr">
        <is>
          <t>We say</t>
        </is>
      </c>
      <c r="B6" s="31" t="inlineStr">
        <is>
          <t>'Say it once. We'll take it from there.' · 'One call. Everything moves.' · 'Every horizon, within reach.' · كل أفق، في متناولك · قلها مرة… والباقي علينا</t>
        </is>
      </c>
    </row>
    <row r="7">
      <c r="A7" s="31" t="inlineStr">
        <is>
          <t>We never</t>
        </is>
      </c>
      <c r="B7" s="31" t="inlineStr">
        <is>
          <t>Flex wealth or price tags (GAMR rules, Sep 2025) · joke about airports, flights or safety · promise visa approvals · use clickbait we can't back up · mock anyone · post children's faces or domestic workers</t>
        </is>
      </c>
    </row>
    <row r="8">
      <c r="A8" s="31" t="inlineStr">
        <is>
          <t>Hooks that work</t>
        </is>
      </c>
      <c r="B8" s="31" t="inlineStr">
        <is>
          <t>A number + a promise ('5 things nobody tells you…') · a POV · a question the viewer has asked themselves ('Schengen for 5 years?') · a sound-first ASMR open · a relatable moment ('Last day before the break')</t>
        </is>
      </c>
    </row>
    <row r="9">
      <c r="A9" s="31" t="inlineStr">
        <is>
          <t>Captions</t>
        </is>
      </c>
      <c r="B9" s="31" t="inlineStr">
        <is>
          <t>Line 1 = the keyword + the hook. 2-4 short lines. One CTA. Emojis as punctuation, max 3. Arabic first, English after a line break on IG.</t>
        </is>
      </c>
    </row>
    <row r="10">
      <c r="A10" s="31" t="inlineStr">
        <is>
          <t>CTAs (rotate)</t>
        </is>
      </c>
      <c r="B10" s="31" t="inlineStr">
        <is>
          <t>Save it · Send it to your travel buddy · Comment your destination · WhatsApp '11' / '🤍' / 'عمرة' · Tag who you're taking</t>
        </is>
      </c>
    </row>
    <row r="12">
      <c r="A12" s="5" t="inlineStr">
        <is>
          <t>Design</t>
        </is>
      </c>
      <c r="B12" s="5" t="inlineStr">
        <is>
          <t>Guideline</t>
        </is>
      </c>
    </row>
    <row r="13">
      <c r="A13" s="31" t="inlineStr">
        <is>
          <t>Colours</t>
        </is>
      </c>
      <c r="B13" s="31" t="inlineStr">
        <is>
          <t>Brand green #1E352D (backgrounds) · Sand #E9E2D8 (light backgrounds) · Gold #D9B77A (accents, numbers, one highlight per post) · Ink #0F1A16. One accent per design.</t>
        </is>
      </c>
    </row>
    <row r="14">
      <c r="A14" s="31" t="inlineStr">
        <is>
          <t>Type</t>
        </is>
      </c>
      <c r="B14" s="31" t="inlineStr">
        <is>
          <t>Latin: Inter Tight (headlines, tight tracking) + Instrument Serif italic (one emphasised word). Arabic: IBM Plex Sans Arabic (body) + Reem Kufi (display words). Aref Ruqaa for signatures and quotes only.</t>
        </is>
      </c>
    </row>
    <row r="15">
      <c r="A15" s="31" t="inlineStr">
        <is>
          <t>Poster text</t>
        </is>
      </c>
      <c r="B15" s="31" t="inlineStr">
        <is>
          <t>Max 7 words in the headline. One idea per slide. Arabic headline larger than English. Min 48px body text at 1080 wide.</t>
        </is>
      </c>
    </row>
    <row r="16">
      <c r="A16" s="31" t="inlineStr">
        <is>
          <t>Logo</t>
        </is>
      </c>
      <c r="B16" s="31" t="inlineStr">
        <is>
          <t>The symbol (sun) bottom-centre or bottom-right on statics, small. Full logo only on cover slides and end cards. Never on Reels' first frame.</t>
        </is>
      </c>
    </row>
    <row r="17">
      <c r="A17" s="31" t="inlineStr">
        <is>
          <t>Photography</t>
        </is>
      </c>
      <c r="B17" s="31" t="inlineStr">
        <is>
          <t>Real, warm, natural light. People from behind or in silhouette when showing families. Modest dress in every shot. No stock-looking handshakes.</t>
        </is>
      </c>
    </row>
    <row r="18">
      <c r="A18" s="31" t="inlineStr">
        <is>
          <t>Video</t>
        </is>
      </c>
      <c r="B18" s="31" t="inlineStr">
        <is>
          <t>9:16, 1080x1920, captions burned in (Arabic + English on IG). First frame = the hook text. Grade: warm sand highlights, deep green shadows.</t>
        </is>
      </c>
    </row>
    <row r="19">
      <c r="A19" s="31" t="inlineStr">
        <is>
          <t>Sizes</t>
        </is>
      </c>
      <c r="B19" s="31" t="inlineStr">
        <is>
          <t>Reels/TikTok/Stories 1080x1920 · IG feed 1080x1350 (4:5) or 1080x1440 (3:4) · LinkedIn documents 1080x1350 per page · X images 1600x900 or 1080x1350.</t>
        </is>
      </c>
    </row>
    <row r="20">
      <c r="A20" s="31" t="inlineStr">
        <is>
          <t>Templates to build first</t>
        </is>
      </c>
      <c r="B20" s="31" t="inlineStr">
        <is>
          <t>Weekend Radar (cover + event card) · Visa in 60 (end card) · One Call (split-screen frame) · Offer poster · Quote card · Checklist poster · LinkedIn document master.</t>
        </is>
      </c>
    </row>
    <row r="22">
      <c r="A22" s="5" t="inlineStr">
        <is>
          <t>Instagram Stories</t>
        </is>
      </c>
      <c r="B22" s="5" t="inlineStr">
        <is>
          <t>Daily pattern</t>
        </is>
      </c>
    </row>
    <row r="23">
      <c r="A23" s="31" t="inlineStr">
        <is>
          <t>Sunday</t>
        </is>
      </c>
      <c r="B23" s="31" t="inlineStr">
        <is>
          <t>Ask Mada: question box ('Ask us anything about your next trip'). Answer in Stories through the week.</t>
        </is>
      </c>
    </row>
    <row r="24">
      <c r="A24" s="31" t="inlineStr">
        <is>
          <t>Monday</t>
        </is>
      </c>
      <c r="B24" s="31" t="inlineStr">
        <is>
          <t>Poll or quiz on a visa or destination fact (from the week's Visa in 60).</t>
        </is>
      </c>
    </row>
    <row r="25">
      <c r="A25" s="31" t="inlineStr">
        <is>
          <t>Tuesday</t>
        </is>
      </c>
      <c r="B25" s="31" t="inlineStr">
        <is>
          <t>Behind the scenes: the office, a confirmation, a supplier call (screens blurred).</t>
        </is>
      </c>
    </row>
    <row r="26">
      <c r="A26" s="31" t="inlineStr">
        <is>
          <t>Wednesday</t>
        </is>
      </c>
      <c r="B26" s="31" t="inlineStr">
        <is>
          <t>This-or-that destination sticker + a link sticker to WhatsApp.</t>
        </is>
      </c>
    </row>
    <row r="27">
      <c r="A27" s="31" t="inlineStr">
        <is>
          <t>Thursday</t>
        </is>
      </c>
      <c r="B27" s="31" t="inlineStr">
        <is>
          <t>Weekend Radar: the event cards as Stories + a countdown for the weekend's main event.</t>
        </is>
      </c>
    </row>
    <row r="28">
      <c r="A28" s="31" t="inlineStr">
        <is>
          <t>Friday</t>
        </is>
      </c>
      <c r="B28" s="31" t="inlineStr">
        <is>
          <t>Calm Friday: one beautiful shot, Jumu'ah greeting after prayer, no selling.</t>
        </is>
      </c>
    </row>
    <row r="29">
      <c r="A29" s="31" t="inlineStr">
        <is>
          <t>Saturday</t>
        </is>
      </c>
      <c r="B29" s="31" t="inlineStr">
        <is>
          <t>Client stories: reshare tagged trips (with permission) + a 'where to next?' sticker.</t>
        </is>
      </c>
    </row>
    <row r="31">
      <c r="A31" s="5" t="inlineStr">
        <is>
          <t>Profile</t>
        </is>
      </c>
      <c r="B31" s="5" t="inlineStr">
        <is>
          <t>Display name</t>
        </is>
      </c>
      <c r="C31" s="5" t="inlineStr">
        <is>
          <t>Bio</t>
        </is>
      </c>
      <c r="D31" s="5" t="inlineStr">
        <is>
          <t>Note</t>
        </is>
      </c>
    </row>
    <row r="32">
      <c r="A32" s="31" t="inlineStr">
        <is>
          <t>Instagram</t>
        </is>
      </c>
      <c r="B32" s="33" t="inlineStr">
        <is>
          <t>مادا | Mada Trips</t>
        </is>
      </c>
      <c r="C32" s="33" t="inlineStr">
        <is>
          <t>سفر · فنادق · تأشيرات · فعاليات من الرياض ✈️
قلها مرة… والباقي علينا
Travel · Visas · Events · Riyadh
👇 واتساب</t>
        </is>
      </c>
      <c r="D32" s="31" t="inlineStr">
        <is>
          <t>Name field carries keywords: 'مادا للسفر | Mada Trips Riyadh'</t>
        </is>
      </c>
    </row>
    <row r="33">
      <c r="A33" s="31" t="inlineStr">
        <is>
          <t>TikTok</t>
        </is>
      </c>
      <c r="B33" s="33" t="inlineStr">
        <is>
          <t>مادا للسفر</t>
        </is>
      </c>
      <c r="C33" s="33" t="inlineStr">
        <is>
          <t>نخطط لك السفر والفيزا والفعاليات 🇸🇦
قلها مرة… والباقي علينا 👇</t>
        </is>
      </c>
      <c r="D33" s="31" t="inlineStr">
        <is>
          <t>Username: @madatrips (secure the same handle everywhere)</t>
        </is>
      </c>
    </row>
    <row r="34">
      <c r="A34" s="31" t="inlineStr">
        <is>
          <t>X</t>
        </is>
      </c>
      <c r="B34" s="33" t="inlineStr">
        <is>
          <t>مادا | Mada Trips</t>
        </is>
      </c>
      <c r="C34" s="33" t="inlineStr">
        <is>
          <t>سفر، تذاكر، فنادق، تأشيرات، فعاليات، كوادر وتقنية. من الرياض لكل أفق. واتساب ‎+966 56 668 2662</t>
        </is>
      </c>
      <c r="D34" s="31" t="inlineStr">
        <is>
          <t>Pin the launch post, then the current offer</t>
        </is>
      </c>
    </row>
    <row r="35">
      <c r="A35" s="31" t="inlineStr">
        <is>
          <t>LinkedIn</t>
        </is>
      </c>
      <c r="B35" s="31" t="inlineStr">
        <is>
          <t>Mada Trips</t>
        </is>
      </c>
      <c r="C35" s="31" t="inlineStr">
        <is>
          <t>One partner for everything that moves: corporate travel, delegations, events, manpower, specialist supply and IT. Riyadh, KSA.</t>
        </is>
      </c>
      <c r="D35" s="31" t="inlineStr">
        <is>
          <t>Tagline + the 9 services under 'Specialties' for search</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RowHeight="15"/>
  <cols>
    <col width="18" customWidth="1" min="1" max="1"/>
    <col width="80" customWidth="1" min="2" max="2"/>
    <col width="60" customWidth="1" min="3" max="3"/>
  </cols>
  <sheetData>
    <row r="1">
      <c r="A1" s="1" t="inlineStr">
        <is>
          <t>Keyword bank (search on TikTok, Instagram and Google)</t>
        </is>
      </c>
    </row>
    <row r="4" ht="28" customHeight="1">
      <c r="A4" s="4" t="inlineStr">
        <is>
          <t>• Search volumes for Arabic terms weren't available. Validate every cluster before posting: TikTok search autocomplete + 'Others searched for', TikTok Creative Center (region: Saudi Arabia) and Google Trends (geo: SA).</t>
        </is>
      </c>
    </row>
    <row r="5" ht="28" customHeight="1">
      <c r="A5" s="4" t="inlineStr">
        <is>
          <t>• Use one main keyword per post in four places: spoken in the first 3 seconds, on screen, in caption line 1, and in 1-2 of the 5 hashtags.</t>
        </is>
      </c>
    </row>
    <row r="6" ht="28" customHeight="1">
      <c r="A6" s="4" t="inlineStr">
        <is>
          <t>• Spell it the way people search, which is often colloquial: 'وش اسوي بالرياض', not formal Arabic.</t>
        </is>
      </c>
    </row>
    <row r="7" ht="28" customHeight="1">
      <c r="A7" s="4" t="inlineStr">
        <is>
          <t>• Put keywords in the profile name field too (e.g. 'مادا للسفر | Mada Trips Riyadh').</t>
        </is>
      </c>
    </row>
    <row r="9">
      <c r="A9" s="5" t="inlineStr">
        <is>
          <t>Cluster</t>
        </is>
      </c>
      <c r="B9" s="5" t="inlineStr">
        <is>
          <t>Arabic keywords</t>
        </is>
      </c>
      <c r="C9" s="5" t="inlineStr">
        <is>
          <t>English keywords</t>
        </is>
      </c>
    </row>
    <row r="10">
      <c r="A10" s="31" t="inlineStr">
        <is>
          <t>Event travel</t>
        </is>
      </c>
      <c r="B10" s="33" t="inlineStr">
        <is>
          <t>تذاكر دوري أبطال أوروبا · رحلة مباراة ريال مدريد · تذاكر الفورمولا ١ قطر · فورمولا ١ أبوظبي · السوبر الإسباني إسطنبول · حفلة شاكيرا الأهرامات</t>
        </is>
      </c>
      <c r="C10" s="31" t="inlineStr">
        <is>
          <t>Champions League tickets travel · F1 Abu Dhabi package · Spanish Super Cup Istanbul</t>
        </is>
      </c>
    </row>
    <row r="11">
      <c r="A11" s="31" t="inlineStr">
        <is>
          <t>Winter abroad</t>
        </is>
      </c>
      <c r="B11" s="33" t="inlineStr">
        <is>
          <t>اليابان من الرياض مباشر · أوراق الخريف كيوتو · لابلاند الشفق القطبي · سويسرا في الشتاء · التزلج في جورجيا · مهرجان دبي للتسوق · القرية العالمية · المالديف شهر عسل</t>
        </is>
      </c>
      <c r="C11" s="31" t="inlineStr">
        <is>
          <t>Japan from Riyadh · northern lights Lapland · ski holiday from Saudi · Dubai Shopping Festival</t>
        </is>
      </c>
    </row>
    <row r="12">
      <c r="A12" s="31" t="inlineStr">
        <is>
          <t>Visas</t>
        </is>
      </c>
      <c r="B12" s="33" t="inlineStr">
        <is>
          <t>تأشيرة شنغن · فيزا شنغن للسعوديين · شنغن ٥ سنوات · مواعيد السفارة · اوراق الفيزا · ETA بريطانيا · فيزا امريكا · بدون فيزا للسعوديين</t>
        </is>
      </c>
      <c r="C12" s="31" t="inlineStr">
        <is>
          <t>Schengen visa Saudi · UK ETA Saudi · US visa Riyadh</t>
        </is>
      </c>
    </row>
    <row r="13">
      <c r="A13" s="31" t="inlineStr">
        <is>
          <t>Breaks &amp; deals</t>
        </is>
      </c>
      <c r="B13" s="33" t="inlineStr">
        <is>
          <t>اجازة الخريف · وين نسافر في الاجازة · رحلات قريبة من الرياض · عروض سفر · عروض طيران · باقات سياحية · الجمعة البيضاء عروض سفر</t>
        </is>
      </c>
      <c r="C13" s="31" t="inlineStr">
        <is>
          <t>autumn break Saudi · White Friday travel deals</t>
        </is>
      </c>
    </row>
    <row r="14">
      <c r="A14" s="31" t="inlineStr">
        <is>
          <t>Domestic</t>
        </is>
      </c>
      <c r="B14" s="33" t="inlineStr">
        <is>
          <t>العلا · سماء العلا · منطاد العلا · برنامج العلا ٣ ايام · ابها والسودة · البحر الاحمر · الدرعية · كشتة · مخيمات الرياض · حافة العالم</t>
        </is>
      </c>
      <c r="C14" s="31" t="inlineStr">
        <is>
          <t>things to do in AlUla · AlUla Skies · Red Sea resorts · desert camping Riyadh</t>
        </is>
      </c>
    </row>
    <row r="15">
      <c r="A15" s="31" t="inlineStr">
        <is>
          <t>Riyadh Season</t>
        </is>
      </c>
      <c r="B15" s="33" t="inlineStr">
        <is>
          <t>موسم الرياض ٢٠٢٦ · بوليفارد وورلد · فعاليات الرياض هالويكند · وش اسوي بالرياض · موسم الرياض للعائلات</t>
        </is>
      </c>
      <c r="C15" s="31" t="inlineStr">
        <is>
          <t>Riyadh Season 2026 · Riyadh this weekend</t>
        </is>
      </c>
    </row>
    <row r="16">
      <c r="A16" s="31" t="inlineStr">
        <is>
          <t>Abroad</t>
        </is>
      </c>
      <c r="B16" s="33" t="inlineStr">
        <is>
          <t>سفر اوروبا شتاء · فيينا في الشتاء · لندن في الشتاء · جورجيا في الشتاء · مسقط سياحة · باكو · تبليسي</t>
        </is>
      </c>
      <c r="C16" s="31" t="inlineStr">
        <is>
          <t>Europe winter trip · Vienna Christmas market · Winter Wonderland London</t>
        </is>
      </c>
    </row>
    <row r="17">
      <c r="A17" s="31" t="inlineStr">
        <is>
          <t>Umrah</t>
        </is>
      </c>
      <c r="B17" s="33" t="inlineStr">
        <is>
          <t>باقات عمرة · عمرة رجب · عمرة رمضان · تصريح عمرة نسك · فنادق قريبة من الحرم</t>
        </is>
      </c>
      <c r="C17" s="31" t="inlineStr">
        <is>
          <t>Umrah package from Riyadh · Umrah permit Nusuk</t>
        </is>
      </c>
    </row>
    <row r="18">
      <c r="A18" s="31" t="inlineStr">
        <is>
          <t>B2B (LinkedIn)</t>
        </is>
      </c>
      <c r="B18" s="33" t="inlineStr">
        <is>
          <t>تنظيم فعاليات الرياض · توريد عمالة · خدمات الأعمال</t>
        </is>
      </c>
      <c r="C18" s="31" t="inlineStr">
        <is>
          <t>corporate travel Saudi Arabia · event management Riyadh · MICE Saudi Arabia · manpower supply KSA · delegation management</t>
        </is>
      </c>
    </row>
  </sheetData>
  <mergeCells count="4">
    <mergeCell ref="A5:C5"/>
    <mergeCell ref="A4:C4"/>
    <mergeCell ref="A7:C7"/>
    <mergeCell ref="A6:C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2"/>
  <sheetViews>
    <sheetView showGridLines="0" workbookViewId="0">
      <selection activeCell="A1" sqref="A1"/>
    </sheetView>
  </sheetViews>
  <sheetFormatPr baseColWidth="8" defaultRowHeight="15"/>
  <cols>
    <col width="26" customWidth="1" min="1" max="1"/>
    <col width="110" customWidth="1" min="2" max="2"/>
    <col width="26" customWidth="1" min="3" max="3"/>
    <col width="40" customWidth="1" min="4" max="4"/>
    <col width="44" customWidth="1" min="5" max="5"/>
    <col width="44" customWidth="1" min="6" max="6"/>
  </cols>
  <sheetData>
    <row r="1">
      <c r="A1" s="1" t="inlineStr">
        <is>
          <t>Competitor analysis</t>
        </is>
      </c>
    </row>
    <row r="2">
      <c r="A2" s="2" t="inlineStr">
        <is>
          <t>Follower counts are approximate. Instagram and TikTok analytics are login-gated, so verify by hand before quoting.</t>
        </is>
      </c>
    </row>
    <row r="4">
      <c r="A4" s="5" t="inlineStr">
        <is>
          <t>Brand</t>
        </is>
      </c>
      <c r="B4" s="5" t="inlineStr">
        <is>
          <t>Handles</t>
        </is>
      </c>
      <c r="C4" s="5" t="inlineStr">
        <is>
          <t>Size (approx.)</t>
        </is>
      </c>
      <c r="D4" s="5" t="inlineStr">
        <is>
          <t>Style</t>
        </is>
      </c>
      <c r="E4" s="5" t="inlineStr">
        <is>
          <t>What wins</t>
        </is>
      </c>
      <c r="F4" s="5" t="inlineStr">
        <is>
          <t>Gap for Mada</t>
        </is>
      </c>
    </row>
    <row r="5">
      <c r="A5" s="31" t="inlineStr">
        <is>
          <t>Almosafer (Seera)</t>
        </is>
      </c>
      <c r="B5" s="31" t="inlineStr">
        <is>
          <t>@almosafer · @almosafertravel_sa</t>
        </is>
      </c>
      <c r="C5" s="31" t="inlineStr">
        <is>
          <t>~154K IG on the regional account (HypeAuditor); main accounts larger</t>
        </is>
      </c>
      <c r="D5" s="31" t="inlineStr">
        <is>
          <t>Polished, family, mostly Modern Standard Arabic. Deals, seasonal moments, rare emotional brand films.</t>
        </is>
      </c>
      <c r="E5" s="31" t="inlineStr">
        <is>
          <t>'Stories of Mecca' (87M organic views), 'As Far As We Go' (8M views in a week).</t>
        </is>
      </c>
      <c r="F5" s="31" t="inlineStr">
        <is>
          <t>Transactional day to day. No human advisor on camera. No B2B voice.</t>
        </is>
      </c>
    </row>
    <row r="6">
      <c r="A6" s="31" t="inlineStr">
        <is>
          <t>Wego / Flyin / Rehlat</t>
        </is>
      </c>
      <c r="B6" s="31" t="inlineStr">
        <is>
          <t>@wego_arabic · @flyin · @rehlat</t>
        </is>
      </c>
      <c r="C6" s="31" t="inlineStr">
        <is>
          <t>Unverified (likely hundreds of thousands)</t>
        </is>
      </c>
      <c r="D6" s="31" t="inlineStr">
        <is>
          <t>Bright, promotional, price hacks and app promos.</t>
        </is>
      </c>
      <c r="E6" s="31" t="inlineStr">
        <is>
          <t>Price authority, 'cheapest time to fly' content.</t>
        </is>
      </c>
      <c r="F6" s="31" t="inlineStr">
        <is>
          <t>Commoditised and interchangeable. No premium tier, little Umrah depth.</t>
        </is>
      </c>
    </row>
    <row r="7">
      <c r="A7" s="31" t="inlineStr">
        <is>
          <t>Saudia</t>
        </is>
      </c>
      <c r="B7" s="31" t="inlineStr">
        <is>
          <t>@saudi_airlines</t>
        </is>
      </c>
      <c r="C7" s="31" t="inlineStr">
        <is>
          <t>Very large on X (unverified)</t>
        </is>
      </c>
      <c r="D7" s="31" t="inlineStr">
        <is>
          <t>Institutional. Product-as-campaign.</t>
        </is>
      </c>
      <c r="E7" s="31" t="inlineStr">
        <is>
          <t>Cannes Lions 2026: 'Let It Fly' (39K stickers redeemed in 22 countries), 'The Coolest Ihram' (237M impressions).</t>
        </is>
      </c>
      <c r="F7" s="31" t="inlineStr">
        <is>
          <t>X is mostly complaints. Impersonal. Lesson: a celebrity who doesn't fit the culture can backfire.</t>
        </is>
      </c>
    </row>
    <row r="8">
      <c r="A8" s="31" t="inlineStr">
        <is>
          <t>flynas</t>
        </is>
      </c>
      <c r="B8" s="31" t="inlineStr">
        <is>
          <t>@flynas</t>
        </is>
      </c>
      <c r="C8" s="31" t="inlineStr">
        <is>
          <t>Unverified</t>
        </is>
      </c>
      <c r="D8" s="31" t="inlineStr">
        <is>
          <t>Friendly, value-led, creator-powered.</t>
        </is>
      </c>
      <c r="E8" s="31" t="inlineStr">
        <is>
          <t>'People's Lens': creators produce Saudi destination content in exchange for flights.</t>
        </is>
      </c>
      <c r="F8" s="31" t="inlineStr">
        <is>
          <t>Low-cost image.</t>
        </is>
      </c>
    </row>
    <row r="9">
      <c r="A9" s="31" t="inlineStr">
        <is>
          <t>Riyadh Air</t>
        </is>
      </c>
      <c r="B9" s="31" t="inlineStr">
        <is>
          <t>@riyadhair</t>
        </is>
      </c>
      <c r="C9" s="31" t="inlineStr">
        <is>
          <t>Large, built before the first flight (unverified)</t>
        </is>
      </c>
      <c r="D9" s="31" t="inlineStr">
        <is>
          <t>Premium, bilingual, cinematic. The CEO and employees as faces.</t>
        </is>
      </c>
      <c r="E9" s="31" t="inlineStr">
        <is>
          <t>TikTok Ad Awards 2025 'Best of Visionary Marketing'. Built anticipation from zero.</t>
        </is>
      </c>
      <c r="F9" s="31" t="inlineStr">
        <is>
          <t>Aspirational, not service. The benchmark for a new brand: craft + people + anticipation.</t>
        </is>
      </c>
    </row>
    <row r="10">
      <c r="A10" s="31" t="inlineStr">
        <is>
          <t>Visit Saudi · AlUla · Riyadh Season</t>
        </is>
      </c>
      <c r="B10" s="31" t="inlineStr">
        <is>
          <t>@visitsaudi · @experiencealula · @riyadhseason</t>
        </is>
      </c>
      <c r="C10" s="31" t="inlineStr">
        <is>
          <t>Very large (government)</t>
        </is>
      </c>
      <c r="D10" s="31" t="inlineStr">
        <is>
          <t>Glossy, celebrities, cinematic places, hype announcements.</t>
        </is>
      </c>
      <c r="E10" s="31" t="inlineStr">
        <is>
          <t>Visit Saudi's TikTok Branded Search Hub (18M interactions). Riyadh Season's viral launch films.</t>
        </is>
      </c>
      <c r="F10" s="31" t="inlineStr">
        <is>
          <t>They create demand but never answer 'how do I do this easily?'. Mada converts their demand.</t>
        </is>
      </c>
    </row>
    <row r="11">
      <c r="A11" s="31" t="inlineStr">
        <is>
          <t>MDLBEAST</t>
        </is>
      </c>
      <c r="B11" s="31" t="inlineStr">
        <is>
          <t>@mdlbeast</t>
        </is>
      </c>
      <c r="C11" s="31" t="inlineStr">
        <is>
          <t>+29.7K followers in one Soundstorm cycle</t>
        </is>
      </c>
      <c r="D11" s="31" t="inlineStr">
        <is>
          <t>Youth, real-time hype, BTS, English with slang.</t>
        </is>
      </c>
      <c r="E11" s="31" t="inlineStr">
        <is>
          <t>Soundstorm 2024: 42.3M reach. 'Inner Sounds' TikTok effect.</t>
        </is>
      </c>
      <c r="F11" s="31" t="inlineStr">
        <is>
          <t>Niche audience. Soundstorm 2026 is cancelled.</t>
        </is>
      </c>
    </row>
    <row r="12">
      <c r="A12" s="31" t="inlineStr">
        <is>
          <t>Corporate event &amp; manpower firms (Sela, Pico, Maharah…)</t>
        </is>
      </c>
      <c r="B12" s="31" t="inlineStr">
        <is>
          <t>LinkedIn-first</t>
        </is>
      </c>
      <c r="C12" s="31" t="inlineStr">
        <is>
          <t>Maharah ~71K on LinkedIn</t>
        </is>
      </c>
      <c r="D12" s="31" t="inlineStr">
        <is>
          <t>'Proud to have delivered…' posts, milestones, portfolio grids.</t>
        </is>
      </c>
      <c r="E12" s="31" t="inlineStr">
        <is>
          <t>Credentials and scale.</t>
        </is>
      </c>
      <c r="F12" s="31" t="inlineStr">
        <is>
          <t>Nobody teaches. Nobody shows the craft. Nobody bundles event + travel + visas for delegates.</t>
        </is>
      </c>
    </row>
    <row r="13">
      <c r="A13" s="31" t="inlineStr">
        <is>
          <t>Global benchmarks</t>
        </is>
      </c>
      <c r="B13" s="31" t="inlineStr">
        <is>
          <t>Ryanair · Booking.com · Emirates · Qatar Airways</t>
        </is>
      </c>
      <c r="C13" s="31" t="inlineStr">
        <is>
          <t>Millions</t>
        </is>
      </c>
      <c r="D13" s="31" t="inlineStr">
        <is>
          <t>Ryanair: speed and trend-native meme. Booking: always-on trend team + micro-creators as producers. Emirates: hero product.</t>
        </is>
      </c>
      <c r="E13" s="31" t="inlineStr">
        <is>
          <t>Speed, native formats, creators as production.</t>
        </is>
      </c>
      <c r="F13" s="31" t="inlineStr">
        <is>
          <t>Copy the speed, not Ryanair's tone, which is off-brand for premium.</t>
        </is>
      </c>
    </row>
    <row r="15">
      <c r="A15" s="5" t="inlineStr">
        <is>
          <t>White space for Mada</t>
        </is>
      </c>
      <c r="B15" s="5" t="inlineStr">
        <is>
          <t>How we take it</t>
        </is>
      </c>
    </row>
    <row r="16">
      <c r="A16" s="31" t="inlineStr">
        <is>
          <t>A face and a phone number</t>
        </is>
      </c>
      <c r="B16" s="31" t="inlineStr">
        <is>
          <t>Recurring concierges on camera (One Call, Concierge Confessions, Day in the Life). No Saudi OTA does this.</t>
        </is>
      </c>
    </row>
    <row r="17">
      <c r="A17" s="31" t="inlineStr">
        <is>
          <t>The how, not just the wow</t>
        </is>
      </c>
      <c r="B17" s="31" t="inlineStr">
        <is>
          <t>Visit Saudi and Riyadh Season sell the dream. We show how it happens effortlessly: tickets, transfers, the 2am rebooking.</t>
        </is>
      </c>
    </row>
    <row r="18">
      <c r="A18" s="31" t="inlineStr">
        <is>
          <t>From hype to here</t>
        </is>
      </c>
      <c r="B18" s="31" t="inlineStr">
        <is>
          <t>When a big event drops, post a same-day 'how to go, properly' piece within 24 hours.</t>
        </is>
      </c>
    </row>
    <row r="19">
      <c r="A19" s="31" t="inlineStr">
        <is>
          <t>Umrah with dignity</t>
        </is>
      </c>
      <c r="B19" s="31" t="inlineStr">
        <is>
          <t>Calm, educational, respectful Umrah content. Competitors are either flyer-like or institutional.</t>
        </is>
      </c>
    </row>
    <row r="20">
      <c r="A20" s="31" t="inlineStr">
        <is>
          <t>A B2B teacher</t>
        </is>
      </c>
      <c r="B20" s="31" t="inlineStr">
        <is>
          <t>Field Notes on LinkedIn: delegations, MICE, manpower steps. Corporate peers only post milestones.</t>
        </is>
      </c>
    </row>
    <row r="21">
      <c r="A21" s="31" t="inlineStr">
        <is>
          <t>The Horizon Card</t>
        </is>
      </c>
      <c r="B21" s="31" t="inlineStr">
        <is>
          <t>A small signature gesture (a calligraphy welcome card, an elders' travel kit) that becomes shareable content, at a boutique scale like Saudia's product-as-campaign ideas.</t>
        </is>
      </c>
    </row>
    <row r="22">
      <c r="A22" s="31" t="inlineStr">
        <is>
          <t>Snapchat (recommended)</t>
        </is>
      </c>
      <c r="B22" s="31" t="inlineStr">
        <is>
          <t>Snapchat reaches 89% of Saudi adults (25.3M). It isn't in the brief, but secure @madatrips and repost vertical videos there at minimum.</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0"/>
  <sheetViews>
    <sheetView showGridLines="0" workbookViewId="0">
      <selection activeCell="A1" sqref="A1"/>
    </sheetView>
  </sheetViews>
  <sheetFormatPr baseColWidth="8" defaultRowHeight="15"/>
  <cols>
    <col width="18" customWidth="1" min="1" max="1"/>
    <col width="56" customWidth="1" min="2" max="2"/>
    <col width="26" customWidth="1" min="3" max="3"/>
    <col width="36" customWidth="1" min="4" max="4"/>
    <col width="20" customWidth="1" min="5" max="5"/>
    <col width="9" customWidth="1" min="6" max="6"/>
  </cols>
  <sheetData>
    <row r="1">
      <c r="A1" s="1" t="inlineStr">
        <is>
          <t>Moments calendar: Nov 2026 with Dec-Feb teasers</t>
        </is>
      </c>
    </row>
    <row r="4">
      <c r="A4" s="5" t="inlineStr">
        <is>
          <t>Date</t>
        </is>
      </c>
      <c r="B4" s="5" t="inlineStr">
        <is>
          <t>Moment</t>
        </is>
      </c>
      <c r="C4" s="5" t="inlineStr">
        <is>
          <t>Where</t>
        </is>
      </c>
      <c r="D4" s="5" t="inlineStr">
        <is>
          <t>How we use it</t>
        </is>
      </c>
      <c r="E4" s="5" t="inlineStr">
        <is>
          <t>Status</t>
        </is>
      </c>
      <c r="F4" s="5" t="inlineStr">
        <is>
          <t>Scope</t>
        </is>
      </c>
    </row>
    <row r="5">
      <c r="A5" s="31" t="inlineStr">
        <is>
          <t>21 Oct - end Dec</t>
        </is>
      </c>
      <c r="B5" s="31" t="inlineStr">
        <is>
          <t>Riyadh Season 2026 'Big Time' (Boulevard World, Boulevard City, Wonder Garden, The Groves, Farmers' Market, Ana Arabia @ VIA Riyadh)</t>
        </is>
      </c>
      <c r="C5" s="31" t="inlineStr">
        <is>
          <t>Riyadh</t>
        </is>
      </c>
      <c r="D5" s="31" t="inlineStr">
        <is>
          <t>Weekend Radar anchor all month</t>
        </is>
      </c>
      <c r="E5" s="31" t="inlineStr">
        <is>
          <t>Confirmed</t>
        </is>
      </c>
      <c r="F5" s="31" t="inlineStr">
        <is>
          <t>Saudi</t>
        </is>
      </c>
    </row>
    <row r="6">
      <c r="A6" s="31" t="inlineStr">
        <is>
          <t>14 Oct - May</t>
        </is>
      </c>
      <c r="B6" s="31" t="inlineStr">
        <is>
          <t>Global Village, season 31</t>
        </is>
      </c>
      <c r="C6" s="31" t="inlineStr">
        <is>
          <t>Dubai (1h50)</t>
        </is>
      </c>
      <c r="D6" s="31" t="inlineStr">
        <is>
          <t>Easy family weekend abroad</t>
        </is>
      </c>
      <c r="E6" s="31" t="inlineStr">
        <is>
          <t>Confirmed</t>
        </is>
      </c>
      <c r="F6" s="31" t="inlineStr">
        <is>
          <t>GCC</t>
        </is>
      </c>
    </row>
    <row r="7">
      <c r="A7" s="31" t="inlineStr">
        <is>
          <t>3-4 Nov</t>
        </is>
      </c>
      <c r="B7" s="31" t="inlineStr">
        <is>
          <t>UEFA Champions League MD4: Barcelona v Aston Villa, Atlético v Bayern, Fenerbahçe v Liverpool (Istanbul), AEK v Real Madrid</t>
        </is>
      </c>
      <c r="C7" s="31" t="inlineStr">
        <is>
          <t>Spain · Istanbul (4h15) · Athens</t>
        </is>
      </c>
      <c r="D7" s="31" t="inlineStr">
        <is>
          <t>Fly For It: 'Liverpool in Istanbul, 4 hours from Riyadh'</t>
        </is>
      </c>
      <c r="E7" s="31" t="inlineStr">
        <is>
          <t>Confirmed</t>
        </is>
      </c>
      <c r="F7" s="31" t="inlineStr">
        <is>
          <t>Global</t>
        </is>
      </c>
    </row>
    <row r="8">
      <c r="A8" s="31" t="inlineStr">
        <is>
          <t>6-15 Nov</t>
        </is>
      </c>
      <c r="B8" s="31" t="inlineStr">
        <is>
          <t>AlUla Skies Festival: balloons, glow shows, stargazing</t>
        </is>
      </c>
      <c r="C8" s="31" t="inlineStr">
        <is>
          <t>AlUla</t>
        </is>
      </c>
      <c r="D8" s="31" t="inlineStr">
        <is>
          <t>Top domestic trip of the month</t>
        </is>
      </c>
      <c r="E8" s="31" t="inlineStr">
        <is>
          <t>Confirmed</t>
        </is>
      </c>
      <c r="F8" s="31" t="inlineStr">
        <is>
          <t>Saudi</t>
        </is>
      </c>
    </row>
    <row r="9">
      <c r="A9" s="31" t="inlineStr">
        <is>
          <t>7 Nov</t>
        </is>
      </c>
      <c r="B9" s="31" t="inlineStr">
        <is>
          <t>WWE Crown Jewel</t>
        </is>
      </c>
      <c r="C9" s="31" t="inlineStr">
        <is>
          <t>Riyadh Season Stadium, KAFD</t>
        </is>
      </c>
      <c r="D9" s="31" t="inlineStr">
        <is>
          <t>Event-night tips, atmosphere</t>
        </is>
      </c>
      <c r="E9" s="31" t="inlineStr">
        <is>
          <t>Confirmed</t>
        </is>
      </c>
      <c r="F9" s="31" t="inlineStr">
        <is>
          <t>Saudi</t>
        </is>
      </c>
    </row>
    <row r="10">
      <c r="A10" s="31" t="inlineStr">
        <is>
          <t>~7 Nov</t>
        </is>
      </c>
      <c r="B10" s="31" t="inlineStr">
        <is>
          <t>Santa Claus Village season opens · aurora season Sep-Mar</t>
        </is>
      </c>
      <c r="C10" s="31" t="inlineStr">
        <is>
          <t>Rovaniemi, Finland (~9-10h conn.)</t>
        </is>
      </c>
      <c r="D10" s="31" t="inlineStr">
        <is>
          <t>Lapland family Christmas + northern lights</t>
        </is>
      </c>
      <c r="E10" s="31" t="inlineStr">
        <is>
          <t>Opening date TBC</t>
        </is>
      </c>
      <c r="F10" s="31" t="inlineStr">
        <is>
          <t>Global</t>
        </is>
      </c>
    </row>
    <row r="11">
      <c r="A11" s="31" t="inlineStr">
        <is>
          <t>11 Nov</t>
        </is>
      </c>
      <c r="B11" s="31" t="inlineStr">
        <is>
          <t>11.11 Singles Day · ~1 Jumada al-Akhirah 1448</t>
        </is>
      </c>
      <c r="C11" s="31" t="inlineStr">
        <is>
          <t>Online</t>
        </is>
      </c>
      <c r="D11" s="31" t="inlineStr">
        <is>
          <t>11 upgrades offer</t>
        </is>
      </c>
      <c r="E11" s="31" t="inlineStr">
        <is>
          <t>Confirmed</t>
        </is>
      </c>
      <c r="F11" s="31" t="inlineStr">
        <is>
          <t>All</t>
        </is>
      </c>
    </row>
    <row r="12">
      <c r="A12" s="31" t="inlineStr">
        <is>
          <t>13 Nov</t>
        </is>
      </c>
      <c r="B12" s="31" t="inlineStr">
        <is>
          <t>Vienna Rathausplatz Christmas market opens (Schönbrunn from 6 Nov)</t>
        </is>
      </c>
      <c r="C12" s="31" t="inlineStr">
        <is>
          <t>Vienna (~5h)</t>
        </is>
      </c>
      <c r="D12" s="31" t="inlineStr">
        <is>
          <t>Europe in Winter opener</t>
        </is>
      </c>
      <c r="E12" s="31" t="inlineStr">
        <is>
          <t>Likely</t>
        </is>
      </c>
      <c r="F12" s="31" t="inlineStr">
        <is>
          <t>Global</t>
        </is>
      </c>
    </row>
    <row r="13">
      <c r="A13" s="31" t="inlineStr">
        <is>
          <t>13 Nov</t>
        </is>
      </c>
      <c r="B13" s="31" t="inlineStr">
        <is>
          <t>World Kindness Day</t>
        </is>
      </c>
      <c r="C13" s="31" t="inlineStr">
        <is>
          <t>Global</t>
        </is>
      </c>
      <c r="D13" s="31" t="inlineStr">
        <is>
          <t>Horizon Card launch</t>
        </is>
      </c>
      <c r="E13" s="31" t="inlineStr">
        <is>
          <t>Confirmed</t>
        </is>
      </c>
      <c r="F13" s="31" t="inlineStr">
        <is>
          <t>All</t>
        </is>
      </c>
    </row>
    <row r="14">
      <c r="A14" s="31" t="inlineStr">
        <is>
          <t>15 Nov</t>
        </is>
      </c>
      <c r="B14" s="31" t="inlineStr">
        <is>
          <t>Leonid meteor shower peak</t>
        </is>
      </c>
      <c r="C14" s="31" t="inlineStr">
        <is>
          <t>Desert</t>
        </is>
      </c>
      <c r="D14" s="31" t="inlineStr">
        <is>
          <t>Night-sky posts</t>
        </is>
      </c>
      <c r="E14" s="31" t="inlineStr">
        <is>
          <t>Astronomical</t>
        </is>
      </c>
      <c r="F14" s="31" t="inlineStr">
        <is>
          <t>Saudi</t>
        </is>
      </c>
    </row>
    <row r="15">
      <c r="A15" s="31" t="inlineStr">
        <is>
          <t>15-22 Nov</t>
        </is>
      </c>
      <c r="B15" s="31" t="inlineStr">
        <is>
          <t>Nitto ATP Finals</t>
        </is>
      </c>
      <c r="C15" s="31" t="inlineStr">
        <is>
          <t>Turin, Italy</t>
        </is>
      </c>
      <c r="D15" s="31" t="inlineStr">
        <is>
          <t>Tennis-fan short break</t>
        </is>
      </c>
      <c r="E15" s="31" t="inlineStr">
        <is>
          <t>Confirmed</t>
        </is>
      </c>
      <c r="F15" s="31" t="inlineStr">
        <is>
          <t>Global</t>
        </is>
      </c>
    </row>
    <row r="16">
      <c r="A16" s="31" t="inlineStr">
        <is>
          <t>16-19 Nov</t>
        </is>
      </c>
      <c r="B16" s="31" t="inlineStr">
        <is>
          <t>Cityscape Global 2026 (12:00-22:00, 18+)</t>
        </is>
      </c>
      <c r="C16" s="31" t="inlineStr">
        <is>
          <t>RECC Malham</t>
        </is>
      </c>
      <c r="D16" s="31" t="inlineStr">
        <is>
          <t>B2B logistics</t>
        </is>
      </c>
      <c r="E16" s="31" t="inlineStr">
        <is>
          <t>Confirmed</t>
        </is>
      </c>
      <c r="F16" s="31" t="inlineStr">
        <is>
          <t>Saudi</t>
        </is>
      </c>
    </row>
    <row r="17">
      <c r="A17" s="31" t="inlineStr">
        <is>
          <t>~16 Nov - 23 Dec</t>
        </is>
      </c>
      <c r="B17" s="31" t="inlineStr">
        <is>
          <t>Cologne Christmas markets</t>
        </is>
      </c>
      <c r="C17" s="31" t="inlineStr">
        <is>
          <t>Cologne</t>
        </is>
      </c>
      <c r="D17" s="31" t="inlineStr">
        <is>
          <t>Europe in Winter</t>
        </is>
      </c>
      <c r="E17" s="31" t="inlineStr">
        <is>
          <t>Provisional</t>
        </is>
      </c>
      <c r="F17" s="31" t="inlineStr">
        <is>
          <t>Global</t>
        </is>
      </c>
    </row>
    <row r="18">
      <c r="A18" s="31" t="inlineStr">
        <is>
          <t>17 Nov</t>
        </is>
      </c>
      <c r="B18" s="31" t="inlineStr">
        <is>
          <t>Saudia launches Riyadh-Tokyo Narita nonstop (3 a week)</t>
        </is>
      </c>
      <c r="C18" s="31" t="inlineStr">
        <is>
          <t>Tokyo (~10h25)</t>
        </is>
      </c>
      <c r="D18" s="31" t="inlineStr">
        <is>
          <t>'Japan is now 10 hours nonstop' + Kyoto foliage + Sapporo teaser</t>
        </is>
      </c>
      <c r="E18" s="31" t="inlineStr">
        <is>
          <t>Confirmed</t>
        </is>
      </c>
      <c r="F18" s="31" t="inlineStr">
        <is>
          <t>Global</t>
        </is>
      </c>
    </row>
    <row r="19">
      <c r="A19" s="31" t="inlineStr">
        <is>
          <t>19 Nov - 3 Jan</t>
        </is>
      </c>
      <c r="B19" s="31" t="inlineStr">
        <is>
          <t>Hyde Park Winter Wonderland</t>
        </is>
      </c>
      <c r="C19" s="31" t="inlineStr">
        <is>
          <t>London (~6h45)</t>
        </is>
      </c>
      <c r="D19" s="31" t="inlineStr">
        <is>
          <t>Europe in Winter + UK ETA</t>
        </is>
      </c>
      <c r="E19" s="31" t="inlineStr">
        <is>
          <t>Confirmed</t>
        </is>
      </c>
      <c r="F19" s="31" t="inlineStr">
        <is>
          <t>Global</t>
        </is>
      </c>
    </row>
    <row r="20">
      <c r="A20" s="31" t="inlineStr">
        <is>
          <t>19-21 Nov</t>
        </is>
      </c>
      <c r="B20" s="31" t="inlineStr">
        <is>
          <t>F1 Las Vegas Grand Prix</t>
        </is>
      </c>
      <c r="C20" s="31" t="inlineStr">
        <is>
          <t>Las Vegas (~17h conn.)</t>
        </is>
      </c>
      <c r="D20" s="31" t="inlineStr">
        <is>
          <t>Bucket-list mention in World Radar only</t>
        </is>
      </c>
      <c r="E20" s="31" t="inlineStr">
        <is>
          <t>Confirmed</t>
        </is>
      </c>
      <c r="F20" s="31" t="inlineStr">
        <is>
          <t>Global</t>
        </is>
      </c>
    </row>
    <row r="21">
      <c r="A21" s="31" t="inlineStr">
        <is>
          <t>~19-20 Nov</t>
        </is>
      </c>
      <c r="B21" s="31" t="inlineStr">
        <is>
          <t>Zurich &amp; Munich Christmas markets open</t>
        </is>
      </c>
      <c r="C21" s="31" t="inlineStr">
        <is>
          <t>Zurich · Munich</t>
        </is>
      </c>
      <c r="D21" s="31" t="inlineStr">
        <is>
          <t>Europe in Winter</t>
        </is>
      </c>
      <c r="E21" s="31" t="inlineStr">
        <is>
          <t>Likely / TBC</t>
        </is>
      </c>
      <c r="F21" s="31" t="inlineStr">
        <is>
          <t>Global</t>
        </is>
      </c>
    </row>
    <row r="22">
      <c r="A22" s="31" t="inlineStr">
        <is>
          <t>20-28 Nov</t>
        </is>
      </c>
      <c r="B22" s="31" t="inlineStr">
        <is>
          <t>School autumn break (Riyadh may add 29 Nov)</t>
        </is>
      </c>
      <c r="C22" s="31" t="inlineStr">
        <is>
          <t>KSA</t>
        </is>
      </c>
      <c r="D22" s="31" t="inlineStr">
        <is>
          <t>Biggest family-travel push: home, GCC and abroad</t>
        </is>
      </c>
      <c r="E22" s="31" t="inlineStr">
        <is>
          <t>Confirmed (29 Nov TBC)</t>
        </is>
      </c>
      <c r="F22" s="31" t="inlineStr">
        <is>
          <t>Saudi</t>
        </is>
      </c>
    </row>
    <row r="23">
      <c r="A23" s="31" t="inlineStr">
        <is>
          <t>20-28 Nov</t>
        </is>
      </c>
      <c r="B23" s="31" t="inlineStr">
        <is>
          <t>Marrakech International Film Festival</t>
        </is>
      </c>
      <c r="C23" s="31" t="inlineStr">
        <is>
          <t>Marrakech (~7h conn.)</t>
        </is>
      </c>
      <c r="D23" s="31" t="inlineStr">
        <is>
          <t>Culture + glamour trip</t>
        </is>
      </c>
      <c r="E23" s="31" t="inlineStr">
        <is>
          <t>Confirmed</t>
        </is>
      </c>
      <c r="F23" s="31" t="inlineStr">
        <is>
          <t>Global</t>
        </is>
      </c>
    </row>
    <row r="24">
      <c r="A24" s="31" t="inlineStr">
        <is>
          <t>20 Nov</t>
        </is>
      </c>
      <c r="B24" s="31" t="inlineStr">
        <is>
          <t>Oman National Day</t>
        </is>
      </c>
      <c r="C24" s="31" t="inlineStr">
        <is>
          <t>Muscat (~2h)</t>
        </is>
      </c>
      <c r="D24" s="31" t="inlineStr">
        <is>
          <t>Muscat 48h</t>
        </is>
      </c>
      <c r="E24" s="31" t="inlineStr">
        <is>
          <t>Confirmed</t>
        </is>
      </c>
      <c r="F24" s="31" t="inlineStr">
        <is>
          <t>GCC</t>
        </is>
      </c>
    </row>
    <row r="25">
      <c r="A25" s="31" t="inlineStr">
        <is>
          <t>21 Nov</t>
        </is>
      </c>
      <c r="B25" s="31" t="inlineStr">
        <is>
          <t>Val Thorens ski season opens (Courchevel, Zell am See 4-5 Dec; Gudauri ~19 Dec)</t>
        </is>
      </c>
      <c r="C25" s="31" t="inlineStr">
        <is>
          <t>French Alps · Austria · Georgia</t>
        </is>
      </c>
      <c r="D25" s="31" t="inlineStr">
        <is>
          <t>Winter Escapes: first tracks</t>
        </is>
      </c>
      <c r="E25" s="31" t="inlineStr">
        <is>
          <t>Likely</t>
        </is>
      </c>
      <c r="F25" s="31" t="inlineStr">
        <is>
          <t>Global</t>
        </is>
      </c>
    </row>
    <row r="26">
      <c r="A26" s="31" t="inlineStr">
        <is>
          <t>~24 Nov - early Dec</t>
        </is>
      </c>
      <c r="B26" s="31" t="inlineStr">
        <is>
          <t>Kyoto autumn foliage peak (running late this year)</t>
        </is>
      </c>
      <c r="C26" s="31" t="inlineStr">
        <is>
          <t>Kyoto, Japan</t>
        </is>
      </c>
      <c r="D26" s="31" t="inlineStr">
        <is>
          <t>Japan nonstop launch content</t>
        </is>
      </c>
      <c r="E26" s="31" t="inlineStr">
        <is>
          <t>Forecast</t>
        </is>
      </c>
      <c r="F26" s="31" t="inlineStr">
        <is>
          <t>Global</t>
        </is>
      </c>
    </row>
    <row r="27">
      <c r="A27" s="31" t="inlineStr">
        <is>
          <t>24-25 Nov</t>
        </is>
      </c>
      <c r="B27" s="31" t="inlineStr">
        <is>
          <t>UCL MD5: Arsenal v Dortmund, Man City v Napoli, Real Madrid v PSV, PSG v Roma</t>
        </is>
      </c>
      <c r="C27" s="31" t="inlineStr">
        <is>
          <t>London · Manchester · Madrid · Paris</t>
        </is>
      </c>
      <c r="D27" s="31" t="inlineStr">
        <is>
          <t>Fly For It</t>
        </is>
      </c>
      <c r="E27" s="31" t="inlineStr">
        <is>
          <t>Confirmed</t>
        </is>
      </c>
      <c r="F27" s="31" t="inlineStr">
        <is>
          <t>Global</t>
        </is>
      </c>
    </row>
    <row r="28">
      <c r="A28" s="31" t="inlineStr">
        <is>
          <t>26 Nov</t>
        </is>
      </c>
      <c r="B28" s="31" t="inlineStr">
        <is>
          <t>Strasbourg Christmas market opens</t>
        </is>
      </c>
      <c r="C28" s="31" t="inlineStr">
        <is>
          <t>Strasbourg</t>
        </is>
      </c>
      <c r="D28" s="31" t="inlineStr">
        <is>
          <t>Europe in Winter</t>
        </is>
      </c>
      <c r="E28" s="31" t="inlineStr">
        <is>
          <t>TBC</t>
        </is>
      </c>
      <c r="F28" s="31" t="inlineStr">
        <is>
          <t>Global</t>
        </is>
      </c>
    </row>
    <row r="29">
      <c r="A29" s="31" t="inlineStr">
        <is>
          <t>27 Nov</t>
        </is>
      </c>
      <c r="B29" s="31" t="inlineStr">
        <is>
          <t>White Friday</t>
        </is>
      </c>
      <c r="C29" s="31" t="inlineStr">
        <is>
          <t>Online</t>
        </is>
      </c>
      <c r="D29" s="31" t="inlineStr">
        <is>
          <t>Main offer of the month</t>
        </is>
      </c>
      <c r="E29" s="31" t="inlineStr">
        <is>
          <t>Confirmed</t>
        </is>
      </c>
      <c r="F29" s="31" t="inlineStr">
        <is>
          <t>All</t>
        </is>
      </c>
    </row>
    <row r="30">
      <c r="A30" s="31" t="inlineStr">
        <is>
          <t>27-29 Nov</t>
        </is>
      </c>
      <c r="B30" s="31" t="inlineStr">
        <is>
          <t>F1 Qatar Grand Prix</t>
        </is>
      </c>
      <c r="C30" s="31" t="inlineStr">
        <is>
          <t>Lusail, Doha (1h20)</t>
        </is>
      </c>
      <c r="D30" s="31" t="inlineStr">
        <is>
          <t>Closest F1 weekend to Riyadh</t>
        </is>
      </c>
      <c r="E30" s="31" t="inlineStr">
        <is>
          <t>Confirmed</t>
        </is>
      </c>
      <c r="F30" s="31" t="inlineStr">
        <is>
          <t>GCC</t>
        </is>
      </c>
    </row>
    <row r="31">
      <c r="A31" s="31" t="inlineStr">
        <is>
          <t>28 Nov</t>
        </is>
      </c>
      <c r="B31" s="31" t="inlineStr">
        <is>
          <t>Shakira at the Pyramids of Giza</t>
        </is>
      </c>
      <c r="C31" s="31" t="inlineStr">
        <is>
          <t>Giza, Egypt (~2h30)</t>
        </is>
      </c>
      <c r="D31" s="31" t="inlineStr">
        <is>
          <t>Fly For It + Grand Egyptian Museum</t>
        </is>
      </c>
      <c r="E31" s="31" t="inlineStr">
        <is>
          <t>Confirmed by promoter</t>
        </is>
      </c>
      <c r="F31" s="31" t="inlineStr">
        <is>
          <t>Global</t>
        </is>
      </c>
    </row>
    <row r="32">
      <c r="A32" s="31" t="inlineStr">
        <is>
          <t>28 Nov - 3 Jan</t>
        </is>
      </c>
      <c r="B32" s="31" t="inlineStr">
        <is>
          <t>Mother of the Nation Festival (Al Ain 28 Nov-2 Dec, Abu Dhabi Corniche 9 Dec-3 Jan)</t>
        </is>
      </c>
      <c r="C32" s="31" t="inlineStr">
        <is>
          <t>UAE (1h45)</t>
        </is>
      </c>
      <c r="D32" s="31" t="inlineStr">
        <is>
          <t>GCC family weekend</t>
        </is>
      </c>
      <c r="E32" s="31" t="inlineStr">
        <is>
          <t>Confirmed</t>
        </is>
      </c>
      <c r="F32" s="31" t="inlineStr">
        <is>
          <t>GCC</t>
        </is>
      </c>
    </row>
    <row r="33">
      <c r="A33" s="31" t="inlineStr">
        <is>
          <t>28 Nov - 6 Jan</t>
        </is>
      </c>
      <c r="B33" s="31" t="inlineStr">
        <is>
          <t>Prague Christmas markets</t>
        </is>
      </c>
      <c r="C33" s="31" t="inlineStr">
        <is>
          <t>Prague (~5h30)</t>
        </is>
      </c>
      <c r="D33" s="31" t="inlineStr">
        <is>
          <t>Budget fairytale city</t>
        </is>
      </c>
      <c r="E33" s="31" t="inlineStr">
        <is>
          <t>Likely</t>
        </is>
      </c>
      <c r="F33" s="31" t="inlineStr">
        <is>
          <t>Global</t>
        </is>
      </c>
    </row>
    <row r="34">
      <c r="A34" s="31" t="inlineStr">
        <is>
          <t>Nov - Apr</t>
        </is>
      </c>
      <c r="B34" s="31" t="inlineStr">
        <is>
          <t>High season: Maldives, Seychelles, Phuket, Kuala Lumpur, Bali</t>
        </is>
      </c>
      <c r="C34" s="31" t="inlineStr">
        <is>
          <t>Indian Ocean · SE Asia</t>
        </is>
      </c>
      <c r="D34" s="31" t="inlineStr">
        <is>
          <t>Winter sun, honeymoons</t>
        </is>
      </c>
      <c r="E34" s="31" t="inlineStr">
        <is>
          <t>Seasonal</t>
        </is>
      </c>
      <c r="F34" s="31" t="inlineStr">
        <is>
          <t>Global</t>
        </is>
      </c>
    </row>
    <row r="35">
      <c r="A35" s="31" t="inlineStr">
        <is>
          <t>30 Nov</t>
        </is>
      </c>
      <c r="B35" s="31" t="inlineStr">
        <is>
          <t>Cyber Monday · schools return</t>
        </is>
      </c>
      <c r="C35" s="31" t="inlineStr">
        <is>
          <t>Online</t>
        </is>
      </c>
      <c r="D35" s="31" t="inlineStr">
        <is>
          <t>Last call + December preview</t>
        </is>
      </c>
      <c r="E35" s="31" t="inlineStr">
        <is>
          <t>Confirmed</t>
        </is>
      </c>
      <c r="F35" s="31" t="inlineStr">
        <is>
          <t>All</t>
        </is>
      </c>
    </row>
    <row r="36">
      <c r="A36" s="31" t="inlineStr">
        <is>
          <t>3-6 Dec</t>
        </is>
      </c>
      <c r="B36" s="31" t="inlineStr">
        <is>
          <t>F1 Abu Dhabi finale + Yasalam (Imagine Dragons 5 Dec)</t>
        </is>
      </c>
      <c r="C36" s="31" t="inlineStr">
        <is>
          <t>Abu Dhabi (1h45)</t>
        </is>
      </c>
      <c r="D36" s="31" t="inlineStr">
        <is>
          <t>Fly For It (sell in Nov)</t>
        </is>
      </c>
      <c r="E36" s="31" t="inlineStr">
        <is>
          <t>Confirmed</t>
        </is>
      </c>
      <c r="F36" s="31" t="inlineStr">
        <is>
          <t>GCC</t>
        </is>
      </c>
    </row>
    <row r="37">
      <c r="A37" s="31" t="inlineStr">
        <is>
          <t>4 Dec - 17 Jan</t>
        </is>
      </c>
      <c r="B37" s="31" t="inlineStr">
        <is>
          <t>Dubai Shopping Festival, 32nd edition</t>
        </is>
      </c>
      <c r="C37" s="31" t="inlineStr">
        <is>
          <t>Dubai (1h50)</t>
        </is>
      </c>
      <c r="D37" s="31" t="inlineStr">
        <is>
          <t>Winter-break anchor</t>
        </is>
      </c>
      <c r="E37" s="31" t="inlineStr">
        <is>
          <t>Confirmed</t>
        </is>
      </c>
      <c r="F37" s="31" t="inlineStr">
        <is>
          <t>GCC</t>
        </is>
      </c>
    </row>
    <row r="38">
      <c r="A38" s="31" t="inlineStr">
        <is>
          <t>5 Dec</t>
        </is>
      </c>
      <c r="B38" s="31" t="inlineStr">
        <is>
          <t>North London derby: Tottenham v Arsenal</t>
        </is>
      </c>
      <c r="C38" s="31" t="inlineStr">
        <is>
          <t>London</t>
        </is>
      </c>
      <c r="D38" s="31" t="inlineStr">
        <is>
          <t>'A week of football in London'</t>
        </is>
      </c>
      <c r="E38" s="31" t="inlineStr">
        <is>
          <t>Confirmed date</t>
        </is>
      </c>
      <c r="F38" s="31" t="inlineStr">
        <is>
          <t>Global</t>
        </is>
      </c>
    </row>
    <row r="39">
      <c r="A39" s="31" t="inlineStr">
        <is>
          <t>8 Dec</t>
        </is>
      </c>
      <c r="B39" s="31" t="inlineStr">
        <is>
          <t>UCL MD6: Barcelona v Man City</t>
        </is>
      </c>
      <c r="C39" s="31" t="inlineStr">
        <is>
          <t>Barcelona (~6h30)</t>
        </is>
      </c>
      <c r="D39" s="31" t="inlineStr">
        <is>
          <t>Fly For It (sell in Nov)</t>
        </is>
      </c>
      <c r="E39" s="31" t="inlineStr">
        <is>
          <t>Confirmed</t>
        </is>
      </c>
      <c r="F39" s="31" t="inlineStr">
        <is>
          <t>Global</t>
        </is>
      </c>
    </row>
    <row r="40">
      <c r="A40" s="31" t="inlineStr">
        <is>
          <t>9 Dec</t>
        </is>
      </c>
      <c r="B40" s="31" t="inlineStr">
        <is>
          <t>UCL MD6: Arsenal v Real Madrid</t>
        </is>
      </c>
      <c r="C40" s="31" t="inlineStr">
        <is>
          <t>London (~6h45)</t>
        </is>
      </c>
      <c r="D40" s="31" t="inlineStr">
        <is>
          <t>Biggest fixture in our window. Sell from early Nov</t>
        </is>
      </c>
      <c r="E40" s="31" t="inlineStr">
        <is>
          <t>Confirmed</t>
        </is>
      </c>
      <c r="F40" s="31" t="inlineStr">
        <is>
          <t>Global</t>
        </is>
      </c>
    </row>
    <row r="41">
      <c r="A41" s="31" t="inlineStr">
        <is>
          <t>8-11 Dec</t>
        </is>
      </c>
      <c r="B41" s="31" t="inlineStr">
        <is>
          <t>GITEX Global (first year at Expo City Dubai)</t>
        </is>
      </c>
      <c r="C41" s="31" t="inlineStr">
        <is>
          <t>Dubai</t>
        </is>
      </c>
      <c r="D41" s="31" t="inlineStr">
        <is>
          <t>LinkedIn team-travel brief</t>
        </is>
      </c>
      <c r="E41" s="31" t="inlineStr">
        <is>
          <t>Confirmed</t>
        </is>
      </c>
      <c r="F41" s="31" t="inlineStr">
        <is>
          <t>GCC</t>
        </is>
      </c>
    </row>
    <row r="42">
      <c r="A42" s="31" t="inlineStr">
        <is>
          <t>~10 Dec</t>
        </is>
      </c>
      <c r="B42" s="31" t="inlineStr">
        <is>
          <t>1 Rajab 1448: Umrah planning season</t>
        </is>
      </c>
      <c r="C42" s="31" t="inlineStr">
        <is>
          <t>Makkah</t>
        </is>
      </c>
      <c r="D42" s="31" t="inlineStr">
        <is>
          <t>Umrah series starts 29 Nov</t>
        </is>
      </c>
      <c r="E42" s="31" t="inlineStr">
        <is>
          <t>Expected (Umm al-Qura)</t>
        </is>
      </c>
      <c r="F42" s="31" t="inlineStr">
        <is>
          <t>Saudi</t>
        </is>
      </c>
    </row>
    <row r="43">
      <c r="A43" s="31" t="inlineStr">
        <is>
          <t>18 Dec</t>
        </is>
      </c>
      <c r="B43" s="31" t="inlineStr">
        <is>
          <t>Qatar National Day</t>
        </is>
      </c>
      <c r="C43" s="31" t="inlineStr">
        <is>
          <t>Doha (1h20)</t>
        </is>
      </c>
      <c r="D43" s="31" t="inlineStr">
        <is>
          <t>GCC weekend</t>
        </is>
      </c>
      <c r="E43" s="31" t="inlineStr">
        <is>
          <t>Confirmed date</t>
        </is>
      </c>
      <c r="F43" s="31" t="inlineStr">
        <is>
          <t>GCC</t>
        </is>
      </c>
    </row>
    <row r="44">
      <c r="A44" s="31" t="inlineStr">
        <is>
          <t>18-19 Dec</t>
        </is>
      </c>
      <c r="B44" s="31" t="inlineStr">
        <is>
          <t>Formula E Jeddah E-Prix (season opener)</t>
        </is>
      </c>
      <c r="C44" s="31" t="inlineStr">
        <is>
          <t>Jeddah</t>
        </is>
      </c>
      <c r="D44" s="31" t="inlineStr">
        <is>
          <t>December teaser</t>
        </is>
      </c>
      <c r="E44" s="31" t="inlineStr">
        <is>
          <t>Confirmed</t>
        </is>
      </c>
      <c r="F44" s="31" t="inlineStr">
        <is>
          <t>Saudi</t>
        </is>
      </c>
    </row>
    <row r="45">
      <c r="A45" s="31" t="inlineStr">
        <is>
          <t>26-27 Dec</t>
        </is>
      </c>
      <c r="B45" s="31" t="inlineStr">
        <is>
          <t>Premier League Boxing Day + London sales</t>
        </is>
      </c>
      <c r="C45" s="31" t="inlineStr">
        <is>
          <t>UK</t>
        </is>
      </c>
      <c r="D45" s="31" t="inlineStr">
        <is>
          <t>Festive football + shopping</t>
        </is>
      </c>
      <c r="E45" s="31" t="inlineStr">
        <is>
          <t>Confirmed</t>
        </is>
      </c>
      <c r="F45" s="31" t="inlineStr">
        <is>
          <t>Global</t>
        </is>
      </c>
    </row>
    <row r="46">
      <c r="A46" s="31" t="inlineStr">
        <is>
          <t>27-30 Dec</t>
        </is>
      </c>
      <c r="B46" s="31" t="inlineStr">
        <is>
          <t>Six Kings Slam (moved from October)</t>
        </is>
      </c>
      <c r="C46" s="31" t="inlineStr">
        <is>
          <t>ANB Arena Riyadh</t>
        </is>
      </c>
      <c r="D46" s="31" t="inlineStr">
        <is>
          <t>December teaser</t>
        </is>
      </c>
      <c r="E46" s="31" t="inlineStr">
        <is>
          <t>Confirmed</t>
        </is>
      </c>
      <c r="F46" s="31" t="inlineStr">
        <is>
          <t>Saudi</t>
        </is>
      </c>
    </row>
    <row r="47">
      <c r="A47" s="31" t="inlineStr">
        <is>
          <t>31 Dec</t>
        </is>
      </c>
      <c r="B47" s="31" t="inlineStr">
        <is>
          <t>New Year's Eve: Burj Khalifa · London (tickets on sale from 23 Oct) · Sydney</t>
        </is>
      </c>
      <c r="C47" s="31" t="inlineStr">
        <is>
          <t>Dubai · London · Sydney</t>
        </is>
      </c>
      <c r="D47" s="31" t="inlineStr">
        <is>
          <t>NYE packages, sell from Nov</t>
        </is>
      </c>
      <c r="E47" s="31" t="inlineStr">
        <is>
          <t>Confirmed</t>
        </is>
      </c>
      <c r="F47" s="31" t="inlineStr">
        <is>
          <t>Global</t>
        </is>
      </c>
    </row>
    <row r="48">
      <c r="A48" s="31" t="inlineStr">
        <is>
          <t>31 Dec</t>
        </is>
      </c>
      <c r="B48" s="31" t="inlineStr">
        <is>
          <t>China's visa-free entry for Saudis ends (unless extended)</t>
        </is>
      </c>
      <c r="C48" s="31" t="inlineStr">
        <is>
          <t>China</t>
        </is>
      </c>
      <c r="D48" s="31" t="inlineStr">
        <is>
          <t>'Use it before year end'</t>
        </is>
      </c>
      <c r="E48" s="31" t="inlineStr">
        <is>
          <t>Confirmed</t>
        </is>
      </c>
      <c r="F48" s="31" t="inlineStr">
        <is>
          <t>Global</t>
        </is>
      </c>
    </row>
    <row r="49">
      <c r="A49" s="31" t="inlineStr">
        <is>
          <t>6 Jan - 2 Feb 2027</t>
        </is>
      </c>
      <c r="B49" s="31" t="inlineStr">
        <is>
          <t>Paris winter sales (soldes)</t>
        </is>
      </c>
      <c r="C49" s="31" t="inlineStr">
        <is>
          <t>Paris (~6h15)</t>
        </is>
      </c>
      <c r="D49" s="31" t="inlineStr">
        <is>
          <t>Winter Escapes: city + shopping</t>
        </is>
      </c>
      <c r="E49" s="31" t="inlineStr">
        <is>
          <t>Confirmed</t>
        </is>
      </c>
      <c r="F49" s="31" t="inlineStr">
        <is>
          <t>Global</t>
        </is>
      </c>
    </row>
    <row r="50">
      <c r="A50" s="31" t="inlineStr">
        <is>
          <t>7 Jan - 5 Feb 2027</t>
        </is>
      </c>
      <c r="B50" s="31" t="inlineStr">
        <is>
          <t>AFC Asian Cup 2027 in Saudi Arabia (Riyadh, Jeddah, Al Khobar)</t>
        </is>
      </c>
      <c r="C50" s="31" t="inlineStr">
        <is>
          <t>KSA</t>
        </is>
      </c>
      <c r="D50" s="31" t="inlineStr">
        <is>
          <t>Home tournament: football fans stay home, so time football trips abroad around it</t>
        </is>
      </c>
      <c r="E50" s="31" t="inlineStr">
        <is>
          <t>Confirmed</t>
        </is>
      </c>
      <c r="F50" s="31" t="inlineStr">
        <is>
          <t>Saudi</t>
        </is>
      </c>
    </row>
    <row r="51">
      <c r="A51" s="31" t="inlineStr">
        <is>
          <t>8 Jan 2027</t>
        </is>
      </c>
      <c r="B51" s="31" t="inlineStr">
        <is>
          <t>Mid-year school break begins</t>
        </is>
      </c>
      <c r="C51" s="31" t="inlineStr">
        <is>
          <t>KSA</t>
        </is>
      </c>
      <c r="D51" s="31" t="inlineStr">
        <is>
          <t>Winter Escapes all December</t>
        </is>
      </c>
      <c r="E51" s="31" t="inlineStr">
        <is>
          <t>Confirmed</t>
        </is>
      </c>
      <c r="F51" s="31" t="inlineStr">
        <is>
          <t>Saudi</t>
        </is>
      </c>
    </row>
    <row r="52">
      <c r="A52" s="31" t="inlineStr">
        <is>
          <t>11-31 Jan 2027</t>
        </is>
      </c>
      <c r="B52" s="31" t="inlineStr">
        <is>
          <t>Australian Open</t>
        </is>
      </c>
      <c r="C52" s="31" t="inlineStr">
        <is>
          <t>Melbourne</t>
        </is>
      </c>
      <c r="D52" s="31" t="inlineStr">
        <is>
          <t>Summer escape + tennis</t>
        </is>
      </c>
      <c r="E52" s="31" t="inlineStr">
        <is>
          <t>Confirmed</t>
        </is>
      </c>
      <c r="F52" s="31" t="inlineStr">
        <is>
          <t>Global</t>
        </is>
      </c>
    </row>
    <row r="53">
      <c r="A53" s="31" t="inlineStr">
        <is>
          <t>14 Jan 2027</t>
        </is>
      </c>
      <c r="B53" s="31" t="inlineStr">
        <is>
          <t>NBA Paris Game (Spurs, Wembanyama)</t>
        </is>
      </c>
      <c r="C53" s="31" t="inlineStr">
        <is>
          <t>Paris</t>
        </is>
      </c>
      <c r="D53" s="31" t="inlineStr">
        <is>
          <t>Paris sales + NBA</t>
        </is>
      </c>
      <c r="E53" s="31" t="inlineStr">
        <is>
          <t>Confirmed</t>
        </is>
      </c>
      <c r="F53" s="31" t="inlineStr">
        <is>
          <t>Global</t>
        </is>
      </c>
    </row>
    <row r="54">
      <c r="A54" s="31" t="inlineStr">
        <is>
          <t>19-20 Jan 2027</t>
        </is>
      </c>
      <c r="B54" s="31" t="inlineStr">
        <is>
          <t>UCL MD7: Inter v Liverpool, Man Utd v Bayern, Sporting v Barcelona</t>
        </is>
      </c>
      <c r="C54" s="31" t="inlineStr">
        <is>
          <t>Milan · Manchester · Lisbon</t>
        </is>
      </c>
      <c r="D54" s="31" t="inlineStr">
        <is>
          <t>Fly For It</t>
        </is>
      </c>
      <c r="E54" s="31" t="inlineStr">
        <is>
          <t>Confirmed</t>
        </is>
      </c>
      <c r="F54" s="31" t="inlineStr">
        <is>
          <t>Global</t>
        </is>
      </c>
    </row>
    <row r="55">
      <c r="A55" s="31" t="inlineStr">
        <is>
          <t>2-7 Feb 2027</t>
        </is>
      </c>
      <c r="B55" s="31" t="inlineStr">
        <is>
          <t>Spanish Super Cup (Real Madrid, Barcelona, Atlético, Real Sociedad), moved to Istanbul for 2027</t>
        </is>
      </c>
      <c r="C55" s="31" t="inlineStr">
        <is>
          <t>Istanbul (~4h15)</t>
        </is>
      </c>
      <c r="D55" s="31" t="inlineStr">
        <is>
          <t>A possible Clásico final 4 hours away</t>
        </is>
      </c>
      <c r="E55" s="31" t="inlineStr">
        <is>
          <t>Confirmed</t>
        </is>
      </c>
      <c r="F55" s="31" t="inlineStr">
        <is>
          <t>Global</t>
        </is>
      </c>
    </row>
    <row r="56">
      <c r="A56" s="31" t="inlineStr">
        <is>
          <t>4-11 Feb 2027</t>
        </is>
      </c>
      <c r="B56" s="31" t="inlineStr">
        <is>
          <t>Sapporo Snow Festival</t>
        </is>
      </c>
      <c r="C56" s="31" t="inlineStr">
        <is>
          <t>Sapporo, Japan</t>
        </is>
      </c>
      <c r="D56" s="31" t="inlineStr">
        <is>
          <t>Snow for families via the new Tokyo nonstop</t>
        </is>
      </c>
      <c r="E56" s="31" t="inlineStr">
        <is>
          <t>Likely</t>
        </is>
      </c>
      <c r="F56" s="31" t="inlineStr">
        <is>
          <t>Global</t>
        </is>
      </c>
    </row>
    <row r="57">
      <c r="A57" s="31" t="inlineStr">
        <is>
          <t>6 Feb 2027</t>
        </is>
      </c>
      <c r="B57" s="31" t="inlineStr">
        <is>
          <t>Lunar New Year (Year of the Goat)</t>
        </is>
      </c>
      <c r="C57" s="31" t="inlineStr">
        <is>
          <t>Singapore · KL · Hong Kong</t>
        </is>
      </c>
      <c r="D57" s="31" t="inlineStr">
        <is>
          <t>Festive Asia city breaks</t>
        </is>
      </c>
      <c r="E57" s="31" t="inlineStr">
        <is>
          <t>Confirmed</t>
        </is>
      </c>
      <c r="F57" s="31" t="inlineStr">
        <is>
          <t>Global</t>
        </is>
      </c>
    </row>
    <row r="58">
      <c r="A58" s="31" t="inlineStr">
        <is>
          <t>~8 Feb 2027</t>
        </is>
      </c>
      <c r="B58" s="31" t="inlineStr">
        <is>
          <t>Ramadan 1448</t>
        </is>
      </c>
      <c r="C58" s="31" t="inlineStr">
        <is>
          <t>KSA</t>
        </is>
      </c>
      <c r="D58" s="31" t="inlineStr">
        <is>
          <t>Umrah, book early</t>
        </is>
      </c>
      <c r="E58" s="31" t="inlineStr">
        <is>
          <t>Expected</t>
        </is>
      </c>
      <c r="F58" s="31" t="inlineStr">
        <is>
          <t>Saudi</t>
        </is>
      </c>
    </row>
    <row r="59">
      <c r="A59" s="31" t="inlineStr">
        <is>
          <t>12-14 Mar / 19-21 Mar 2027</t>
        </is>
      </c>
      <c r="B59" s="31" t="inlineStr">
        <is>
          <t>F1 2027 opener in Bahrain, then Saudi GP Jeddah</t>
        </is>
      </c>
      <c r="C59" s="31" t="inlineStr">
        <is>
          <t>Sakhir (1h15) · Jeddah</t>
        </is>
      </c>
      <c r="D59" s="31" t="inlineStr">
        <is>
          <t>Early teaser</t>
        </is>
      </c>
      <c r="E59" s="31" t="inlineStr">
        <is>
          <t>Confirmed</t>
        </is>
      </c>
      <c r="F59" s="31" t="inlineStr">
        <is>
          <t>GCC</t>
        </is>
      </c>
    </row>
    <row r="60">
      <c r="A60" s="31" t="inlineStr">
        <is>
          <t>Late Mar - early Apr 2027</t>
        </is>
      </c>
      <c r="B60" s="31" t="inlineStr">
        <is>
          <t>Japan cherry blossom (first forecast ~mid-Dec)</t>
        </is>
      </c>
      <c r="C60" s="31" t="inlineStr">
        <is>
          <t>Tokyo · Kyoto</t>
        </is>
      </c>
      <c r="D60" s="31" t="inlineStr">
        <is>
          <t>Early-bird teaser</t>
        </is>
      </c>
      <c r="E60" s="31" t="inlineStr">
        <is>
          <t>Estimate</t>
        </is>
      </c>
      <c r="F60" s="31" t="inlineStr">
        <is>
          <t>Global</t>
        </is>
      </c>
    </row>
    <row r="62">
      <c r="A62" s="34" t="inlineStr">
        <is>
          <t>Cancelled / moved / unconfirmed: don't promote</t>
        </is>
      </c>
    </row>
    <row r="63">
      <c r="A63" s="6" t="inlineStr">
        <is>
          <t>• Red Sea International Film Festival 2026 (postponed to Q4 2027)</t>
        </is>
      </c>
    </row>
    <row r="64">
      <c r="A64" s="6" t="inlineStr">
        <is>
          <t>• MDLBEAST Soundstorm 2026 (cancelled)</t>
        </is>
      </c>
    </row>
    <row r="65">
      <c r="A65" s="6" t="inlineStr">
        <is>
          <t>• Formula E Diriyah (moved to Jeddah, 18-19 Dec)</t>
        </is>
      </c>
    </row>
    <row r="66">
      <c r="A66" s="6" t="inlineStr">
        <is>
          <t>• Riyadh Comedy Festival (no 2026 edition announced)</t>
        </is>
      </c>
    </row>
    <row r="67">
      <c r="A67" s="6" t="inlineStr">
        <is>
          <t>• Joy Awards 2027 (reported cancelled, not yet official)</t>
        </is>
      </c>
    </row>
    <row r="68">
      <c r="A68" s="6" t="inlineStr">
        <is>
          <t>• Offlimits Abu Dhabi festival, 21 Nov (cancelled) · Shakira Doha 18 Nov (conflicting reports) · Amr Diab Dubai 7 Nov (possibly postponed)</t>
        </is>
      </c>
    </row>
    <row r="69">
      <c r="A69" s="6" t="inlineStr">
        <is>
          <t>• Spanish Super Cup 2027 is NOT in Saudi Arabia (moved to Istanbul) · no Club World Cup this season</t>
        </is>
      </c>
    </row>
    <row r="70">
      <c r="A70" s="6" t="inlineStr">
        <is>
          <t>• Noor Riyadh, Winter at Tantora, Jeddah &amp; Diriyah Seasons: 2026 dates not announced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5"/>
  <cols>
    <col width="5" customWidth="1" min="1" max="1"/>
    <col width="30" customWidth="1" min="2" max="2"/>
    <col width="48" customWidth="1" min="3" max="3"/>
    <col width="20" customWidth="1" min="4" max="4"/>
    <col width="24" customWidth="1" min="5" max="5"/>
    <col width="14" customWidth="1" min="6" max="6"/>
    <col width="16" customWidth="1" min="7" max="7"/>
    <col width="16" customWidth="1" min="8" max="8"/>
  </cols>
  <sheetData>
    <row r="1">
      <c r="A1" s="1" t="inlineStr">
        <is>
          <t>Where Saudis travel abroad this winter</t>
        </is>
      </c>
    </row>
    <row r="2">
      <c r="A2" s="2" t="inlineStr">
        <is>
          <t>Ranked synthesis of Almosafer, Wego and winter seasonality (Oct 2026). Visa rules change: verify before every post.</t>
        </is>
      </c>
    </row>
    <row r="4">
      <c r="A4" s="5" t="inlineStr">
        <is>
          <t>What we know</t>
        </is>
      </c>
      <c r="B4" s="5" t="inlineStr">
        <is>
          <t>Insight</t>
        </is>
      </c>
    </row>
    <row r="5">
      <c r="A5" s="31" t="inlineStr">
        <is>
          <t>The market</t>
        </is>
      </c>
      <c r="B5" s="31" t="inlineStr">
        <is>
          <t>Saudi outbound travel spend is about US$35bn a year, heading past US$60bn by 2030 (WTM Spotlight Riyadh, 2026). 84% of Saudi international journeys go beyond the GCC (Wego).</t>
        </is>
      </c>
    </row>
    <row r="6">
      <c r="A6" s="31" t="inlineStr">
        <is>
          <t>Where they go</t>
        </is>
      </c>
      <c r="B6" s="31" t="inlineStr">
        <is>
          <t>Egypt is the #1 corridor (19.6% of Gulf nationals' international travel). Then Türkiye, UAE, Georgia, Azerbaijan, London, Paris, Phuket. Trending: Moscow, Madrid, Athens, Shanghai, Vietnam (+30% searches), Morocco, Japan (Almosafer and Wego 2026).</t>
        </is>
      </c>
    </row>
    <row r="7">
      <c r="A7" s="31" t="inlineStr">
        <is>
          <t>When they book</t>
        </is>
      </c>
      <c r="B7" s="31" t="inlineStr">
        <is>
          <t>A last-minute market: international flights are booked ~17 days ahead and 67% of stays within a week of travel (Almosafer 2026). Post event trips 3-6 weeks ahead, destination ideas 2-3 weeks ahead.</t>
        </is>
      </c>
    </row>
    <row r="8">
      <c r="A8" s="31" t="inlineStr">
        <is>
          <t>Why an agency wins</t>
        </is>
      </c>
      <c r="B8" s="31" t="inlineStr">
        <is>
          <t>Human advisers handle ~6% of bookings but at ~3x the average booking value (Almosafer 2026). That's Mada's lane: complex, high-value, multi-part trips.</t>
        </is>
      </c>
    </row>
    <row r="9">
      <c r="A9" s="31" t="inlineStr">
        <is>
          <t>What they want abroad</t>
        </is>
      </c>
      <c r="B9" s="31" t="inlineStr">
        <is>
          <t>Privacy and family space (connecting rooms, villas with private pools), halal food and prayer access, snow and green nature in winter, shopping, easy visas and direct flights.</t>
        </is>
      </c>
    </row>
    <row r="10">
      <c r="A10" s="31" t="inlineStr">
        <is>
          <t>How they pay</t>
        </is>
      </c>
      <c r="B10" s="31" t="inlineStr">
        <is>
          <t>Apple Pay is 44% of payments and buy-now-pay-later is used on 29% of bookings. If Mada offers Tabby/Tamara instalments, say so on every price post.</t>
        </is>
      </c>
    </row>
    <row r="11">
      <c r="A11" s="31" t="inlineStr">
        <is>
          <t>Event travel</t>
        </is>
      </c>
      <c r="B11" s="31" t="inlineStr">
        <is>
          <t>95% of Gen Z and Millennials plan to travel for a major event (TikTok/KAYAK). Football is the biggest driver for Saudis: sell Champions League nights and the Super Cup as packages.</t>
        </is>
      </c>
    </row>
    <row r="12">
      <c r="A12" s="31" t="inlineStr">
        <is>
          <t>Watch-outs</t>
        </is>
      </c>
      <c r="B12" s="31" t="inlineStr">
        <is>
          <t>Wego saw Saudi searches for Azerbaijan (-39%) and Georgia (-29%) fall when regional airspace closed. Demand returns when routes reopen. Always check airline status and the Saudi MOFA before promoting a route.</t>
        </is>
      </c>
    </row>
    <row r="14">
      <c r="A14" s="5" t="inlineStr">
        <is>
          <t>#</t>
        </is>
      </c>
      <c r="B14" s="5" t="inlineStr">
        <is>
          <t>Destination</t>
        </is>
      </c>
      <c r="C14" s="5" t="inlineStr">
        <is>
          <t>Why now</t>
        </is>
      </c>
      <c r="D14" s="5" t="inlineStr">
        <is>
          <t>Segment</t>
        </is>
      </c>
      <c r="E14" s="5" t="inlineStr">
        <is>
          <t>Visa for Saudis</t>
        </is>
      </c>
      <c r="F14" s="5" t="inlineStr">
        <is>
          <t>Flight from RUH</t>
        </is>
      </c>
      <c r="G14" s="5" t="inlineStr">
        <is>
          <t>Direct?</t>
        </is>
      </c>
      <c r="H14" s="5" t="inlineStr">
        <is>
          <t>Best months</t>
        </is>
      </c>
    </row>
    <row r="15">
      <c r="A15" s="31" t="n">
        <v>1</v>
      </c>
      <c r="B15" s="31" t="inlineStr">
        <is>
          <t>Egypt (Cairo, Sharm, Hurghada)</t>
        </is>
      </c>
      <c r="C15" s="31" t="inlineStr">
        <is>
          <t>#1 corridor, winter sun, Grand Egyptian Museum, Shakira at the Pyramids 28 Nov</t>
        </is>
      </c>
      <c r="D15" s="31" t="inlineStr">
        <is>
          <t>Families, all</t>
        </is>
      </c>
      <c r="E15" s="31" t="inlineStr">
        <is>
          <t>Easy (verify current rule)</t>
        </is>
      </c>
      <c r="F15" s="31" t="inlineStr">
        <is>
          <t>2.5h</t>
        </is>
      </c>
      <c r="G15" s="31" t="inlineStr">
        <is>
          <t>Yes</t>
        </is>
      </c>
      <c r="H15" s="31" t="inlineStr">
        <is>
          <t>Oct-Apr</t>
        </is>
      </c>
    </row>
    <row r="16">
      <c r="A16" s="31" t="n">
        <v>2</v>
      </c>
      <c r="B16" s="31" t="inlineStr">
        <is>
          <t>Türkiye (Istanbul, Uludağ, Cappadocia)</t>
        </is>
      </c>
      <c r="C16" s="31" t="inlineStr">
        <is>
          <t>Perennial top search, snow + shopping, Super Cup Feb 2027</t>
        </is>
      </c>
      <c r="D16" s="31" t="inlineStr">
        <is>
          <t>Families, couples</t>
        </is>
      </c>
      <c r="E16" s="31" t="inlineStr">
        <is>
          <t>Visa-free</t>
        </is>
      </c>
      <c r="F16" s="31" t="inlineStr">
        <is>
          <t>4h</t>
        </is>
      </c>
      <c r="G16" s="31" t="inlineStr">
        <is>
          <t>Yes</t>
        </is>
      </c>
      <c r="H16" s="31" t="inlineStr">
        <is>
          <t>Dec-Feb (snow)</t>
        </is>
      </c>
    </row>
    <row r="17">
      <c r="A17" s="31" t="n">
        <v>3</v>
      </c>
      <c r="B17" s="31" t="inlineStr">
        <is>
          <t>UAE (Dubai, Abu Dhabi)</t>
        </is>
      </c>
      <c r="C17" s="31" t="inlineStr">
        <is>
          <t>Dubai Shopping Festival, Global Village, F1 Abu Dhabi, NYE</t>
        </is>
      </c>
      <c r="D17" s="31" t="inlineStr">
        <is>
          <t>Families, young</t>
        </is>
      </c>
      <c r="E17" s="31" t="inlineStr">
        <is>
          <t>GCC, no visa</t>
        </is>
      </c>
      <c r="F17" s="31" t="inlineStr">
        <is>
          <t>1.5-2h</t>
        </is>
      </c>
      <c r="G17" s="31" t="inlineStr">
        <is>
          <t>Yes (check carriers)</t>
        </is>
      </c>
      <c r="H17" s="31" t="inlineStr">
        <is>
          <t>Nov-Mar</t>
        </is>
      </c>
    </row>
    <row r="18">
      <c r="A18" s="31" t="n">
        <v>4</v>
      </c>
      <c r="B18" s="31" t="inlineStr">
        <is>
          <t>Georgia (Tbilisi, Gudauri)</t>
        </is>
      </c>
      <c r="C18" s="31" t="inlineStr">
        <is>
          <t>Snow, value, halal-friendly</t>
        </is>
      </c>
      <c r="D18" s="31" t="inlineStr">
        <is>
          <t>Families, friends</t>
        </is>
      </c>
      <c r="E18" s="31" t="inlineStr">
        <is>
          <t>Visa-free</t>
        </is>
      </c>
      <c r="F18" s="31" t="inlineStr">
        <is>
          <t>~3.5h</t>
        </is>
      </c>
      <c r="G18" s="31" t="inlineStr">
        <is>
          <t>Verify</t>
        </is>
      </c>
      <c r="H18" s="31" t="inlineStr">
        <is>
          <t>Dec-Mar</t>
        </is>
      </c>
    </row>
    <row r="19">
      <c r="A19" s="31" t="n">
        <v>5</v>
      </c>
      <c r="B19" s="31" t="inlineStr">
        <is>
          <t>Azerbaijan (Baku, Shahdag)</t>
        </is>
      </c>
      <c r="C19" s="31" t="inlineStr">
        <is>
          <t>Snow; visa-free window ends 15 Feb 2027</t>
        </is>
      </c>
      <c r="D19" s="31" t="inlineStr">
        <is>
          <t>Families, couples</t>
        </is>
      </c>
      <c r="E19" s="31" t="inlineStr">
        <is>
          <t>Visa-free to 15 Feb 2027</t>
        </is>
      </c>
      <c r="F19" s="31" t="inlineStr">
        <is>
          <t>~3h</t>
        </is>
      </c>
      <c r="G19" s="31" t="inlineStr">
        <is>
          <t>Yes (flynas)</t>
        </is>
      </c>
      <c r="H19" s="31" t="inlineStr">
        <is>
          <t>Dec-Feb</t>
        </is>
      </c>
    </row>
    <row r="20">
      <c r="A20" s="31" t="n">
        <v>6</v>
      </c>
      <c r="B20" s="31" t="inlineStr">
        <is>
          <t>Thailand (Phuket, Krabi, Bangkok)</t>
        </is>
      </c>
      <c r="C20" s="31" t="inlineStr">
        <is>
          <t>Dry season, long-standing favourite</t>
        </is>
      </c>
      <c r="D20" s="31" t="inlineStr">
        <is>
          <t>Couples, honeymoon</t>
        </is>
      </c>
      <c r="E20" s="31" t="inlineStr">
        <is>
          <t>Visa-free 60 days</t>
        </is>
      </c>
      <c r="F20" s="31" t="inlineStr">
        <is>
          <t>6.5-7h</t>
        </is>
      </c>
      <c r="G20" s="31" t="inlineStr">
        <is>
          <t>Yes</t>
        </is>
      </c>
      <c r="H20" s="31" t="inlineStr">
        <is>
          <t>Nov-Mar</t>
        </is>
      </c>
    </row>
    <row r="21">
      <c r="A21" s="31" t="n">
        <v>7</v>
      </c>
      <c r="B21" s="31" t="inlineStr">
        <is>
          <t>Malaysia (KL, Langkawi, Genting)</t>
        </is>
      </c>
      <c r="C21" s="31" t="inlineStr">
        <is>
          <t>Muslim-friendly family value</t>
        </is>
      </c>
      <c r="D21" s="31" t="inlineStr">
        <is>
          <t>Families</t>
        </is>
      </c>
      <c r="E21" s="31" t="inlineStr">
        <is>
          <t>Visa-free 90 days</t>
        </is>
      </c>
      <c r="F21" s="31" t="inlineStr">
        <is>
          <t>7.5h</t>
        </is>
      </c>
      <c r="G21" s="31" t="inlineStr">
        <is>
          <t>Yes</t>
        </is>
      </c>
      <c r="H21" s="31" t="inlineStr">
        <is>
          <t>Dec-Feb</t>
        </is>
      </c>
    </row>
    <row r="22">
      <c r="A22" s="31" t="n">
        <v>8</v>
      </c>
      <c r="B22" s="31" t="inlineStr">
        <is>
          <t>Maldives</t>
        </is>
      </c>
      <c r="C22" s="31" t="inlineStr">
        <is>
          <t>Private villas, dry season</t>
        </is>
      </c>
      <c r="D22" s="31" t="inlineStr">
        <is>
          <t>Honeymoon</t>
        </is>
      </c>
      <c r="E22" s="31" t="inlineStr">
        <is>
          <t>Free on arrival</t>
        </is>
      </c>
      <c r="F22" s="31" t="inlineStr">
        <is>
          <t>~5h</t>
        </is>
      </c>
      <c r="G22" s="31" t="inlineStr">
        <is>
          <t>Verify winter</t>
        </is>
      </c>
      <c r="H22" s="31" t="inlineStr">
        <is>
          <t>Nov-Apr</t>
        </is>
      </c>
    </row>
    <row r="23">
      <c r="A23" s="31" t="n">
        <v>9</v>
      </c>
      <c r="B23" s="31" t="inlineStr">
        <is>
          <t>UK (London, Edinburgh)</t>
        </is>
      </c>
      <c r="C23" s="31" t="inlineStr">
        <is>
          <t>Winter Wonderland, football, Boxing Day sales</t>
        </is>
      </c>
      <c r="D23" s="31" t="inlineStr">
        <is>
          <t>Families, young</t>
        </is>
      </c>
      <c r="E23" s="31" t="inlineStr">
        <is>
          <t>UK ETA</t>
        </is>
      </c>
      <c r="F23" s="31" t="inlineStr">
        <is>
          <t>6.5h</t>
        </is>
      </c>
      <c r="G23" s="31" t="inlineStr">
        <is>
          <t>Yes</t>
        </is>
      </c>
      <c r="H23" s="31" t="inlineStr">
        <is>
          <t>Nov-Jan</t>
        </is>
      </c>
    </row>
    <row r="24">
      <c r="A24" s="31" t="n">
        <v>10</v>
      </c>
      <c r="B24" s="31" t="inlineStr">
        <is>
          <t>Switzerland (Geneva, Zermatt, Interlaken)</t>
        </is>
      </c>
      <c r="C24" s="31" t="inlineStr">
        <is>
          <t>The snow dream; extra Geneva flights from 6 Dec</t>
        </is>
      </c>
      <c r="D24" s="31" t="inlineStr">
        <is>
          <t>Families, high-spend</t>
        </is>
      </c>
      <c r="E24" s="31" t="inlineStr">
        <is>
          <t>Schengen</t>
        </is>
      </c>
      <c r="F24" s="31" t="inlineStr">
        <is>
          <t>6h</t>
        </is>
      </c>
      <c r="G24" s="31" t="inlineStr">
        <is>
          <t>Yes</t>
        </is>
      </c>
      <c r="H24" s="31" t="inlineStr">
        <is>
          <t>Dec-Feb</t>
        </is>
      </c>
    </row>
    <row r="25">
      <c r="A25" s="31" t="n">
        <v>11</v>
      </c>
      <c r="B25" s="31" t="inlineStr">
        <is>
          <t>France (Paris, Alps)</t>
        </is>
      </c>
      <c r="C25" s="31" t="inlineStr">
        <is>
          <t>Christmas markets, January sales, ski</t>
        </is>
      </c>
      <c r="D25" s="31" t="inlineStr">
        <is>
          <t>Couples, families</t>
        </is>
      </c>
      <c r="E25" s="31" t="inlineStr">
        <is>
          <t>Schengen</t>
        </is>
      </c>
      <c r="F25" s="31" t="inlineStr">
        <is>
          <t>6.5h</t>
        </is>
      </c>
      <c r="G25" s="31" t="inlineStr">
        <is>
          <t>Yes</t>
        </is>
      </c>
      <c r="H25" s="31" t="inlineStr">
        <is>
          <t>Nov-Jan</t>
        </is>
      </c>
    </row>
    <row r="26">
      <c r="A26" s="31" t="n">
        <v>12</v>
      </c>
      <c r="B26" s="31" t="inlineStr">
        <is>
          <t>Japan (Tokyo, Kyoto, Hokkaido)</t>
        </is>
      </c>
      <c r="C26" s="31" t="inlineStr">
        <is>
          <t>New Riyadh-Tokyo nonstop from 17 Nov</t>
        </is>
      </c>
      <c r="D26" s="31" t="inlineStr">
        <is>
          <t>Young, couples</t>
        </is>
      </c>
      <c r="E26" s="31" t="inlineStr">
        <is>
          <t>eVisa</t>
        </is>
      </c>
      <c r="F26" s="31" t="inlineStr">
        <is>
          <t>~10.5h</t>
        </is>
      </c>
      <c r="G26" s="31" t="inlineStr">
        <is>
          <t>New direct</t>
        </is>
      </c>
      <c r="H26" s="31" t="inlineStr">
        <is>
          <t>Nov-Feb, Mar-Apr</t>
        </is>
      </c>
    </row>
    <row r="27">
      <c r="A27" s="31" t="n">
        <v>13</v>
      </c>
      <c r="B27" s="31" t="inlineStr">
        <is>
          <t>China (Shanghai, Beijing, Harbin)</t>
        </is>
      </c>
      <c r="C27" s="31" t="inlineStr">
        <is>
          <t>Visa-free until 31 Dec 2026; Harbin ice festival</t>
        </is>
      </c>
      <c r="D27" s="31" t="inlineStr">
        <is>
          <t>Young, adventurous</t>
        </is>
      </c>
      <c r="E27" s="31" t="inlineStr">
        <is>
          <t>Visa-free to 31 Dec 2026</t>
        </is>
      </c>
      <c r="F27" s="31" t="inlineStr">
        <is>
          <t>8-8.5h</t>
        </is>
      </c>
      <c r="G27" s="31" t="inlineStr">
        <is>
          <t>Yes</t>
        </is>
      </c>
      <c r="H27" s="31" t="inlineStr">
        <is>
          <t>Dec-Feb</t>
        </is>
      </c>
    </row>
    <row r="28">
      <c r="A28" s="31" t="n">
        <v>14</v>
      </c>
      <c r="B28" s="31" t="inlineStr">
        <is>
          <t>Morocco (Marrakech, Tangier)</t>
        </is>
      </c>
      <c r="C28" s="31" t="inlineStr">
        <is>
          <t>Rising; film festival 20-28 Nov</t>
        </is>
      </c>
      <c r="D28" s="31" t="inlineStr">
        <is>
          <t>Couples, families</t>
        </is>
      </c>
      <c r="E28" s="31" t="inlineStr">
        <is>
          <t>Visa-free</t>
        </is>
      </c>
      <c r="F28" s="31" t="inlineStr">
        <is>
          <t>~6.5h</t>
        </is>
      </c>
      <c r="G28" s="31" t="inlineStr">
        <is>
          <t>Verify</t>
        </is>
      </c>
      <c r="H28" s="31" t="inlineStr">
        <is>
          <t>Oct-Apr</t>
        </is>
      </c>
    </row>
    <row r="29">
      <c r="A29" s="31" t="n">
        <v>15</v>
      </c>
      <c r="B29" s="31" t="inlineStr">
        <is>
          <t>Russia (Moscow, St Petersburg)</t>
        </is>
      </c>
      <c r="C29" s="31" t="inlineStr">
        <is>
          <t>Visa-free since May 2026, trending</t>
        </is>
      </c>
      <c r="D29" s="31" t="inlineStr">
        <is>
          <t>Young, couples</t>
        </is>
      </c>
      <c r="E29" s="31" t="inlineStr">
        <is>
          <t>Visa-free 90 days/yr</t>
        </is>
      </c>
      <c r="F29" s="31" t="inlineStr">
        <is>
          <t>~5h</t>
        </is>
      </c>
      <c r="G29" s="31" t="inlineStr">
        <is>
          <t>Verify</t>
        </is>
      </c>
      <c r="H29" s="31" t="inlineStr">
        <is>
          <t>Dec-Feb (snow)</t>
        </is>
      </c>
    </row>
    <row r="30">
      <c r="A30" s="31" t="n">
        <v>16</v>
      </c>
      <c r="B30" s="31" t="inlineStr">
        <is>
          <t>Kazakhstan (Almaty)</t>
        </is>
      </c>
      <c r="C30" s="31" t="inlineStr">
        <is>
          <t>Close snow, Muslim-majority</t>
        </is>
      </c>
      <c r="D30" s="31" t="inlineStr">
        <is>
          <t>Young, families</t>
        </is>
      </c>
      <c r="E30" s="31" t="inlineStr">
        <is>
          <t>Visa-free 30 days</t>
        </is>
      </c>
      <c r="F30" s="31" t="inlineStr">
        <is>
          <t>~4.5-5h</t>
        </is>
      </c>
      <c r="G30" s="31" t="inlineStr">
        <is>
          <t>Verify</t>
        </is>
      </c>
      <c r="H30" s="31" t="inlineStr">
        <is>
          <t>Dec-Mar</t>
        </is>
      </c>
    </row>
    <row r="31">
      <c r="A31" s="31" t="n">
        <v>17</v>
      </c>
      <c r="B31" s="31" t="inlineStr">
        <is>
          <t>Uzbekistan (Samarkand, Bukhara)</t>
        </is>
      </c>
      <c r="C31" s="31" t="inlineStr">
        <is>
          <t>Islamic heritage, value</t>
        </is>
      </c>
      <c r="D31" s="31" t="inlineStr">
        <is>
          <t>Families, culture</t>
        </is>
      </c>
      <c r="E31" s="31" t="inlineStr">
        <is>
          <t>Visa-free 30 days</t>
        </is>
      </c>
      <c r="F31" s="31" t="inlineStr">
        <is>
          <t>~4h</t>
        </is>
      </c>
      <c r="G31" s="31" t="inlineStr">
        <is>
          <t>Verify</t>
        </is>
      </c>
      <c r="H31" s="31" t="inlineStr">
        <is>
          <t>Mar-May, Oct</t>
        </is>
      </c>
    </row>
    <row r="32">
      <c r="A32" s="31" t="n">
        <v>18</v>
      </c>
      <c r="B32" s="31" t="inlineStr">
        <is>
          <t>Vietnam (Hanoi, Da Nang, Phu Quoc)</t>
        </is>
      </c>
      <c r="C32" s="31" t="inlineStr">
        <is>
          <t>Fastest-growing (+30% searches)</t>
        </is>
      </c>
      <c r="D32" s="31" t="inlineStr">
        <is>
          <t>Young, couples</t>
        </is>
      </c>
      <c r="E32" s="31" t="inlineStr">
        <is>
          <t>eVisa</t>
        </is>
      </c>
      <c r="F32" s="31" t="inlineStr">
        <is>
          <t>8h+</t>
        </is>
      </c>
      <c r="G32" s="31" t="inlineStr">
        <is>
          <t>No</t>
        </is>
      </c>
      <c r="H32" s="31" t="inlineStr">
        <is>
          <t>Dec-Apr</t>
        </is>
      </c>
    </row>
    <row r="33">
      <c r="A33" s="31" t="n">
        <v>19</v>
      </c>
      <c r="B33" s="31" t="inlineStr">
        <is>
          <t>Finland (Lapland)</t>
        </is>
      </c>
      <c r="C33" s="31" t="inlineStr">
        <is>
          <t>Northern lights, Santa Claus Village</t>
        </is>
      </c>
      <c r="D33" s="31" t="inlineStr">
        <is>
          <t>Families, premium</t>
        </is>
      </c>
      <c r="E33" s="31" t="inlineStr">
        <is>
          <t>Schengen</t>
        </is>
      </c>
      <c r="F33" s="31" t="inlineStr">
        <is>
          <t>~9-10h conn.</t>
        </is>
      </c>
      <c r="G33" s="31" t="inlineStr">
        <is>
          <t>No</t>
        </is>
      </c>
      <c r="H33" s="31" t="inlineStr">
        <is>
          <t>Dec-Mar</t>
        </is>
      </c>
    </row>
    <row r="34">
      <c r="A34" s="31" t="n">
        <v>20</v>
      </c>
      <c r="B34" s="31" t="inlineStr">
        <is>
          <t>Kenya / Zanzibar</t>
        </is>
      </c>
      <c r="C34" s="31" t="inlineStr">
        <is>
          <t>Safari + beach, rising</t>
        </is>
      </c>
      <c r="D34" s="31" t="inlineStr">
        <is>
          <t>Couples, adventure</t>
        </is>
      </c>
      <c r="E34" s="31" t="inlineStr">
        <is>
          <t>eTA / eVisa</t>
        </is>
      </c>
      <c r="F34" s="31" t="inlineStr">
        <is>
          <t>4.5-6h</t>
        </is>
      </c>
      <c r="G34" s="31" t="inlineStr">
        <is>
          <t>Limited</t>
        </is>
      </c>
      <c r="H34" s="31" t="inlineStr">
        <is>
          <t>Jan-Feb</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4" customWidth="1" min="1" max="1"/>
    <col width="22" customWidth="1" min="2" max="2"/>
    <col width="90" customWidth="1" min="3" max="3"/>
    <col width="16" customWidth="1" min="4" max="4"/>
    <col width="22" customWidth="1" min="5" max="5"/>
    <col width="14" customWidth="1" min="6" max="6"/>
    <col width="14" customWidth="1" min="7" max="7"/>
  </cols>
  <sheetData>
    <row r="1">
      <c r="A1" s="1" t="inlineStr">
        <is>
          <t>KPIs and tracking</t>
        </is>
      </c>
    </row>
    <row r="2">
      <c r="A2" s="2" t="inlineStr">
        <is>
          <t>Targets for month one, set against published benchmarks. The live columns read the Calendar results.</t>
        </is>
      </c>
    </row>
    <row r="4">
      <c r="A4" s="5" t="inlineStr">
        <is>
          <t>KPI</t>
        </is>
      </c>
      <c r="B4" s="5" t="inlineStr">
        <is>
          <t>Month-1 target</t>
        </is>
      </c>
      <c r="C4" s="5" t="inlineStr">
        <is>
          <t>Benchmark / why</t>
        </is>
      </c>
    </row>
    <row r="5">
      <c r="A5" s="31" t="inlineStr">
        <is>
          <t>Global share of destination posts</t>
        </is>
      </c>
      <c r="B5" s="31" t="inlineStr">
        <is>
          <t>≥ 55%</t>
        </is>
      </c>
      <c r="C5" s="31" t="inlineStr">
        <is>
          <t>Saudi outbound spend is ~US$35bn and 84% of international journeys go beyond the GCC. Track the Scope column: Global + GCC vs Saudi.</t>
        </is>
      </c>
    </row>
    <row r="6">
      <c r="A6" s="31" t="inlineStr">
        <is>
          <t>Instagram engagement rate (by followers)</t>
        </is>
      </c>
      <c r="B6" s="31" t="inlineStr">
        <is>
          <t>≥ 1.0%</t>
        </is>
      </c>
      <c r="C6" s="31" t="inlineStr">
        <is>
          <t>Travel &amp; hospitality averages 0.4% (Dash Social, H2 2025). All-industry 0.45-0.48% (Socialinsider 2026).</t>
        </is>
      </c>
    </row>
    <row r="7">
      <c r="A7" s="31" t="inlineStr">
        <is>
          <t>Instagram saves + sends per reach</t>
        </is>
      </c>
      <c r="B7" s="31" t="inlineStr">
        <is>
          <t>≥ 3% on carousels</t>
        </is>
      </c>
      <c r="C7" s="31" t="inlineStr">
        <is>
          <t>Instagram ranks on sends per reach and watch time (Mosseri, Jan 2025).</t>
        </is>
      </c>
    </row>
    <row r="8">
      <c r="A8" s="31" t="inlineStr">
        <is>
          <t>TikTok engagement rate</t>
        </is>
      </c>
      <c r="B8" s="31" t="inlineStr">
        <is>
          <t>≥ 4%</t>
        </is>
      </c>
      <c r="C8" s="31" t="inlineStr">
        <is>
          <t>Travel averages 3.5% (Dash Social, H2 2025).</t>
        </is>
      </c>
    </row>
    <row r="9">
      <c r="A9" s="31" t="inlineStr">
        <is>
          <t>TikTok 3-second hold</t>
        </is>
      </c>
      <c r="B9" s="31" t="inlineStr">
        <is>
          <t>≥ 35%</t>
        </is>
      </c>
      <c r="C9" s="31" t="inlineStr">
        <is>
          <t>20-35% is average, 35-50% good (vendor benchmark).</t>
        </is>
      </c>
    </row>
    <row r="10">
      <c r="A10" s="31" t="inlineStr">
        <is>
          <t>Average watch % (Reels/TikTok)</t>
        </is>
      </c>
      <c r="B10" s="31" t="inlineStr">
        <is>
          <t>≥ 50% on videos under 30s</t>
        </is>
      </c>
      <c r="C10" s="31" t="inlineStr">
        <is>
          <t>Track per hook style. Kill hooks that fall below 30%.</t>
        </is>
      </c>
    </row>
    <row r="11">
      <c r="A11" s="31" t="inlineStr">
        <is>
          <t>X engagement rate</t>
        </is>
      </c>
      <c r="B11" s="31" t="inlineStr">
        <is>
          <t>≥ 0.3%</t>
        </is>
      </c>
      <c r="C11" s="31" t="inlineStr">
        <is>
          <t>Platform average 0.10% (Socialinsider, Jan 2026).</t>
        </is>
      </c>
    </row>
    <row r="12">
      <c r="A12" s="31" t="inlineStr">
        <is>
          <t>LinkedIn engagement (by impressions)</t>
        </is>
      </c>
      <c r="B12" s="31" t="inlineStr">
        <is>
          <t>≥ 5%</t>
        </is>
      </c>
      <c r="C12" s="31" t="inlineStr">
        <is>
          <t>Documents 5.85-6.10% (Socialinsider 2025).</t>
        </is>
      </c>
    </row>
    <row r="13">
      <c r="A13" s="31" t="inlineStr">
        <is>
          <t>WhatsApp conversations from social</t>
        </is>
      </c>
      <c r="B13" s="31" t="inlineStr">
        <is>
          <t>Track weekly</t>
        </is>
      </c>
      <c r="C13" s="31" t="inlineStr">
        <is>
          <t>Ask 'Where did you find us?' in the first WhatsApp reply. Keyword CTAs ('11', '🤍', 'عمرة') make it measurable.</t>
        </is>
      </c>
    </row>
    <row r="14">
      <c r="A14" s="31" t="inlineStr">
        <is>
          <t>Search appearances</t>
        </is>
      </c>
      <c r="B14" s="31" t="inlineStr">
        <is>
          <t>Rank top 10 for 5 target terms</t>
        </is>
      </c>
      <c r="C14" s="31" t="inlineStr">
        <is>
          <t>Check TikTok search weekly for: تأشيرة شنغن, إجازة الخريف, العلا نوفمبر, رادار الويكند, باقات عمرة.</t>
        </is>
      </c>
    </row>
    <row r="15">
      <c r="A15" s="31" t="inlineStr">
        <is>
          <t>Response time</t>
        </is>
      </c>
      <c r="B15" s="31" t="inlineStr">
        <is>
          <t>&lt; 1 hour (09:00-23:00)</t>
        </is>
      </c>
      <c r="C15" s="31" t="inlineStr">
        <is>
          <t>Comments and DMs.</t>
        </is>
      </c>
    </row>
    <row r="18">
      <c r="A18" s="32" t="inlineStr">
        <is>
          <t>Live results by platform (from Calendar)</t>
        </is>
      </c>
    </row>
    <row r="19">
      <c r="A19" s="5" t="inlineStr">
        <is>
          <t>Platform</t>
        </is>
      </c>
      <c r="B19" s="5" t="inlineStr">
        <is>
          <t>Posts planned</t>
        </is>
      </c>
      <c r="C19" s="5" t="inlineStr">
        <is>
          <t>Posted</t>
        </is>
      </c>
      <c r="D19" s="5" t="inlineStr">
        <is>
          <t>Total reach</t>
        </is>
      </c>
      <c r="E19" s="5" t="inlineStr">
        <is>
          <t>Avg eng. rate (posted)</t>
        </is>
      </c>
      <c r="F19" s="5" t="inlineStr">
        <is>
          <t>Total saves</t>
        </is>
      </c>
      <c r="G19" s="5" t="inlineStr">
        <is>
          <t>Total shares</t>
        </is>
      </c>
    </row>
    <row r="20">
      <c r="A20" s="26" t="inlineStr">
        <is>
          <t>Instagram</t>
        </is>
      </c>
      <c r="B20" s="26">
        <f>COUNTIF(Calendar!$F:$F,A20)</f>
        <v/>
      </c>
      <c r="C20" s="26">
        <f>COUNTIFS(Calendar!$F:$F,A20,Calendar!$X:$X,"Posted")</f>
        <v/>
      </c>
      <c r="D20" s="35">
        <f>SUMIF(Calendar!$F:$F,A20,Calendar!$Y:$Y)</f>
        <v/>
      </c>
      <c r="E20" s="36">
        <f>IFERROR(AVERAGEIFS(Calendar!$AE:$AE,Calendar!$F:$F,A20,Calendar!$X:$X,"Posted"),"")</f>
        <v/>
      </c>
      <c r="F20" s="26">
        <f>SUMIF(Calendar!$F:$F,A20,Calendar!$AD:$AD)</f>
        <v/>
      </c>
      <c r="G20" s="26">
        <f>SUMIF(Calendar!$F:$F,A20,Calendar!$AC:$AC)</f>
        <v/>
      </c>
    </row>
    <row r="21">
      <c r="A21" s="26" t="inlineStr">
        <is>
          <t>TikTok</t>
        </is>
      </c>
      <c r="B21" s="26">
        <f>COUNTIF(Calendar!$F:$F,A21)</f>
        <v/>
      </c>
      <c r="C21" s="26">
        <f>COUNTIFS(Calendar!$F:$F,A21,Calendar!$X:$X,"Posted")</f>
        <v/>
      </c>
      <c r="D21" s="35">
        <f>SUMIF(Calendar!$F:$F,A21,Calendar!$Y:$Y)</f>
        <v/>
      </c>
      <c r="E21" s="36">
        <f>IFERROR(AVERAGEIFS(Calendar!$AE:$AE,Calendar!$F:$F,A21,Calendar!$X:$X,"Posted"),"")</f>
        <v/>
      </c>
      <c r="F21" s="26">
        <f>SUMIF(Calendar!$F:$F,A21,Calendar!$AD:$AD)</f>
        <v/>
      </c>
      <c r="G21" s="26">
        <f>SUMIF(Calendar!$F:$F,A21,Calendar!$AC:$AC)</f>
        <v/>
      </c>
    </row>
    <row r="22">
      <c r="A22" s="26" t="inlineStr">
        <is>
          <t>X</t>
        </is>
      </c>
      <c r="B22" s="26">
        <f>COUNTIF(Calendar!$F:$F,A22)</f>
        <v/>
      </c>
      <c r="C22" s="26">
        <f>COUNTIFS(Calendar!$F:$F,A22,Calendar!$X:$X,"Posted")</f>
        <v/>
      </c>
      <c r="D22" s="35">
        <f>SUMIF(Calendar!$F:$F,A22,Calendar!$Y:$Y)</f>
        <v/>
      </c>
      <c r="E22" s="36">
        <f>IFERROR(AVERAGEIFS(Calendar!$AE:$AE,Calendar!$F:$F,A22,Calendar!$X:$X,"Posted"),"")</f>
        <v/>
      </c>
      <c r="F22" s="26">
        <f>SUMIF(Calendar!$F:$F,A22,Calendar!$AD:$AD)</f>
        <v/>
      </c>
      <c r="G22" s="26">
        <f>SUMIF(Calendar!$F:$F,A22,Calendar!$AC:$AC)</f>
        <v/>
      </c>
    </row>
    <row r="23">
      <c r="A23" s="26" t="inlineStr">
        <is>
          <t>LinkedIn</t>
        </is>
      </c>
      <c r="B23" s="26">
        <f>COUNTIF(Calendar!$F:$F,A23)</f>
        <v/>
      </c>
      <c r="C23" s="26">
        <f>COUNTIFS(Calendar!$F:$F,A23,Calendar!$X:$X,"Posted")</f>
        <v/>
      </c>
      <c r="D23" s="35">
        <f>SUMIF(Calendar!$F:$F,A23,Calendar!$Y:$Y)</f>
        <v/>
      </c>
      <c r="E23" s="36">
        <f>IFERROR(AVERAGEIFS(Calendar!$AE:$AE,Calendar!$F:$F,A23,Calendar!$X:$X,"Posted"),"")</f>
        <v/>
      </c>
      <c r="F23" s="26">
        <f>SUMIF(Calendar!$F:$F,A23,Calendar!$AD:$AD)</f>
        <v/>
      </c>
      <c r="G23" s="26">
        <f>SUMIF(Calendar!$F:$F,A23,Calendar!$AC:$AC)</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20"/>
  <sheetViews>
    <sheetView showGridLines="0" workbookViewId="0">
      <selection activeCell="A1" sqref="A1"/>
    </sheetView>
  </sheetViews>
  <sheetFormatPr baseColWidth="8" defaultRowHeight="15"/>
  <cols>
    <col width="22" customWidth="1" min="1" max="1"/>
    <col width="120" customWidth="1" min="2" max="2"/>
  </cols>
  <sheetData>
    <row r="1">
      <c r="A1" s="1" t="inlineStr">
        <is>
          <t>Weekly workflow and sensitivity protocol</t>
        </is>
      </c>
    </row>
    <row r="4">
      <c r="A4" s="5" t="inlineStr">
        <is>
          <t>When</t>
        </is>
      </c>
      <c r="B4" s="5" t="inlineStr">
        <is>
          <t>What</t>
        </is>
      </c>
    </row>
    <row r="5">
      <c r="A5" s="31" t="inlineStr">
        <is>
          <t>Sunday</t>
        </is>
      </c>
      <c r="B5" s="31" t="inlineStr">
        <is>
          <t>Weekly planning: check the moments (events, airline news, weather), finalise the week's copy, sign-off by the brand lead.</t>
        </is>
      </c>
    </row>
    <row r="6">
      <c r="A6" s="31" t="inlineStr">
        <is>
          <t>Monday + Wednesday</t>
        </is>
      </c>
      <c r="B6" s="31" t="inlineStr">
        <is>
          <t>Shoot days: batch 4-6 videos per session (concierge explainers, One Call, BTS). Use a script template with the hook, 3 beats and the CTA.</t>
        </is>
      </c>
    </row>
    <row r="7">
      <c r="A7" s="31" t="inlineStr">
        <is>
          <t>Tuesday + Thursday</t>
        </is>
      </c>
      <c r="B7" s="31" t="inlineStr">
        <is>
          <t>Edit + design: templates in Canva/Figma/CapCut. Arabic proofreading by a native speaker before scheduling.</t>
        </is>
      </c>
    </row>
    <row r="8">
      <c r="A8" s="31" t="inlineStr">
        <is>
          <t>Daily 09:00</t>
        </is>
      </c>
      <c r="B8" s="31" t="inlineStr">
        <is>
          <t>Check the sensitivity protocol and news, then publish. 60 minutes of community replies after every post.</t>
        </is>
      </c>
    </row>
    <row r="9">
      <c r="A9" s="31" t="inlineStr">
        <is>
          <t>Thursday</t>
        </is>
      </c>
      <c r="B9" s="31" t="inlineStr">
        <is>
          <t>Weekly report: top 3 and bottom 3 posts, hook hold rates, saves, WhatsApp leads. Turn one winner into a second version next week.</t>
        </is>
      </c>
    </row>
    <row r="10">
      <c r="A10" s="31" t="inlineStr">
        <is>
          <t>Approvals</t>
        </is>
      </c>
      <c r="B10" s="31" t="inlineStr">
        <is>
          <t>Offers (11.11, White Friday, the LinkedIn Q1 offer) need management. The founder quote needs Bader. Visa and Umrah facts need an ops check. Paid creators need a Mawthooq licence.</t>
        </is>
      </c>
    </row>
    <row r="12">
      <c r="A12" s="34" t="inlineStr">
        <is>
          <t>Sensitivity protocol</t>
        </is>
      </c>
    </row>
    <row r="13">
      <c r="A13" s="6" t="n">
        <v>1</v>
      </c>
      <c r="B13" s="4" t="inlineStr">
        <is>
          <t>Every morning check the news for regional security, airport status and airline suspensions. If there's an incident: pause all scheduled posts within 30 minutes, post nothing promotional for 24-48 hours, and keep only helpful, factual posts (e.g. the 'disruption help line').</t>
        </is>
      </c>
    </row>
    <row r="14">
      <c r="A14" s="6" t="n">
        <v>2</v>
      </c>
      <c r="B14" s="4" t="inlineStr">
        <is>
          <t>Never joke about airports, flights or safety. Never use footage of RUH in the coming weeks.</t>
        </is>
      </c>
    </row>
    <row r="15">
      <c r="A15" s="6" t="n">
        <v>3</v>
      </c>
      <c r="B15" s="4" t="inlineStr">
        <is>
          <t>Never claim an airline or route is operating unless the airline has confirmed it. Link to the airline's own announcement in DMs.</t>
        </is>
      </c>
    </row>
    <row r="16">
      <c r="A16" s="6" t="n">
        <v>4</v>
      </c>
      <c r="B16" s="4" t="inlineStr">
        <is>
          <t>Visas and Umrah: say 'up to', 'at the embassy's discretion', 'expected (moon sighting)'. Never promise approval.</t>
        </is>
      </c>
    </row>
    <row r="17">
      <c r="A17" s="6" t="n">
        <v>5</v>
      </c>
      <c r="B17" s="4" t="inlineStr">
        <is>
          <t>GAMR content rules (Sep 2025): no flaunting wealth, modest dress, no children or domestic workers in lifestyle content, no mockery, no tribal or sectarian content.</t>
        </is>
      </c>
    </row>
    <row r="18">
      <c r="A18" s="6" t="n">
        <v>6</v>
      </c>
      <c r="B18" s="4" t="inlineStr">
        <is>
          <t>Paid creators must hold a Mawthooq licence (SAR 15,000 for 3 years). Mark paid content as an ad (#إعلان). Our own account promoting our own services is exempt.</t>
        </is>
      </c>
    </row>
    <row r="19">
      <c r="A19" s="6" t="n">
        <v>7</v>
      </c>
      <c r="B19" s="4" t="inlineStr">
        <is>
          <t>Discounts: follow Ministry of Commerce rules on sales claims (no fake 'was/now' prices). Real terms on every offer.</t>
        </is>
      </c>
    </row>
    <row r="20">
      <c r="A20" s="6" t="n">
        <v>8</v>
      </c>
      <c r="B20" s="4" t="inlineStr">
        <is>
          <t>Re-check every event date the week of posting. Several were moved or cancelled this season.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66"/>
  <sheetViews>
    <sheetView showGridLines="0" workbookViewId="0">
      <selection activeCell="A1" sqref="A1"/>
    </sheetView>
  </sheetViews>
  <sheetFormatPr baseColWidth="8" defaultRowHeight="15"/>
  <cols>
    <col width="60" customWidth="1" min="1" max="1"/>
    <col width="110" customWidth="1" min="2" max="2"/>
  </cols>
  <sheetData>
    <row r="1">
      <c r="A1" s="1" t="inlineStr">
        <is>
          <t>Sources</t>
        </is>
      </c>
    </row>
    <row r="2">
      <c r="A2" s="2" t="inlineStr">
        <is>
          <t>Research compiled 18 Oct 2026. Vendor benchmarks use different methods, so only compare figures from the same source.</t>
        </is>
      </c>
    </row>
    <row r="4">
      <c r="A4" s="5" t="inlineStr">
        <is>
          <t>Source</t>
        </is>
      </c>
      <c r="B4" s="5" t="inlineStr">
        <is>
          <t>URL</t>
        </is>
      </c>
    </row>
    <row r="5">
      <c r="A5" s="6" t="inlineStr">
        <is>
          <t>DataReportal: Digital 2026 Saudi Arabia</t>
        </is>
      </c>
      <c r="B5" s="37" t="inlineStr">
        <is>
          <t>https://datareportal.com/reports/digital-2026-saudi-arabia</t>
        </is>
      </c>
    </row>
    <row r="6">
      <c r="A6" s="6" t="inlineStr">
        <is>
          <t>CST: Saudi Internet Report 2025</t>
        </is>
      </c>
      <c r="B6" s="37" t="inlineStr">
        <is>
          <t>https://www.cst.gov.sa/en/media-center/news/N2026071901</t>
        </is>
      </c>
    </row>
    <row r="7">
      <c r="A7" s="6" t="inlineStr">
        <is>
          <t>AGBI: Gulf's love for Arabic content (Feb 2026)</t>
        </is>
      </c>
      <c r="B7" s="37" t="inlineStr">
        <is>
          <t>https://www.agbi.com/analysis/media/2026/02/gulfs-love-for-arabic-content-shields-local-tiktok</t>
        </is>
      </c>
    </row>
    <row r="8">
      <c r="A8" s="6" t="inlineStr">
        <is>
          <t>Social Media Today: Instagram algorithm insights (Jan 2025)</t>
        </is>
      </c>
      <c r="B8" s="37" t="inlineStr">
        <is>
          <t>https://www.socialmediatoday.com/news/instagram-shares-algorithm-insights-2025/738034/</t>
        </is>
      </c>
    </row>
    <row r="9">
      <c r="A9" s="6" t="inlineStr">
        <is>
          <t>Tubefilter: Instagram originality enforcement (30 Apr 2026)</t>
        </is>
      </c>
      <c r="B9" s="37" t="inlineStr">
        <is>
          <t>https://tubefilter.com/2026/04/30/instagram-removes-algorithm-recommendations-repost-content-aggregator</t>
        </is>
      </c>
    </row>
    <row r="10">
      <c r="A10" s="6" t="inlineStr">
        <is>
          <t>Engadget: 3-minute Reels &amp; 3:4 grid (Jan 2025)</t>
        </is>
      </c>
      <c r="B10" s="37" t="inlineStr">
        <is>
          <t>https://www.engadget.com/social-media/instagram-swoops-in-with-3-minute-reels-and-rectangular-profile-grids-as-the-tiktok-ban-gets-real-201316339.html</t>
        </is>
      </c>
    </row>
    <row r="11">
      <c r="A11" s="6" t="inlineStr">
        <is>
          <t>Instagram 5-hashtag cap (Dec 2025)</t>
        </is>
      </c>
      <c r="B11" s="37" t="inlineStr">
        <is>
          <t>https://inmagic.ai/how-many-hashtags-on-instagram/</t>
        </is>
      </c>
    </row>
    <row r="12">
      <c r="A12" s="6" t="inlineStr">
        <is>
          <t>Buffer: best content formats 2026</t>
        </is>
      </c>
      <c r="B12" s="37" t="inlineStr">
        <is>
          <t>https://buffer.com/resources/data-best-content-format-social-media/</t>
        </is>
      </c>
    </row>
    <row r="13">
      <c r="A13" s="6" t="inlineStr">
        <is>
          <t>Buffer: how often to post on Instagram</t>
        </is>
      </c>
      <c r="B13" s="37" t="inlineStr">
        <is>
          <t>https://buffer.com/resources/how-often-to-post-on-instagram/</t>
        </is>
      </c>
    </row>
    <row r="14">
      <c r="A14" s="6" t="inlineStr">
        <is>
          <t>Socialinsider: 2026 benchmarks</t>
        </is>
      </c>
      <c r="B14" s="37" t="inlineStr">
        <is>
          <t>https://www.socialinsider.io/social-media-benchmarks</t>
        </is>
      </c>
    </row>
    <row r="15">
      <c r="A15" s="6" t="inlineStr">
        <is>
          <t>Socialinsider: X benchmarks (Jan 2026)</t>
        </is>
      </c>
      <c r="B15" s="37" t="inlineStr">
        <is>
          <t>https://www.socialinsider.io/blog/twitter-benchmarks/</t>
        </is>
      </c>
    </row>
    <row r="16">
      <c r="A16" s="6" t="inlineStr">
        <is>
          <t>Social Media Today: LinkedIn documents lead (Apr 2026)</t>
        </is>
      </c>
      <c r="B16" s="37" t="inlineStr">
        <is>
          <t>https://www.socialmediatoday.com/news/report-shows-document-posts-on-linkedin-see-more-engagement/816551/</t>
        </is>
      </c>
    </row>
    <row r="17">
      <c r="A17" s="6" t="inlineStr">
        <is>
          <t>Dash Social: Travel &amp; hospitality benchmarks (H2 2025)</t>
        </is>
      </c>
      <c r="B17" s="37" t="inlineStr">
        <is>
          <t>https://www.dashsocial.com/social-media-benchmarks/travel-industry</t>
        </is>
      </c>
    </row>
    <row r="18">
      <c r="A18" s="6" t="inlineStr">
        <is>
          <t>MediaPost: TikTok hashtag limit</t>
        </is>
      </c>
      <c r="B18" s="37" t="inlineStr">
        <is>
          <t>https://www.mediapost.com/publications/article/408371/tiktok-limits-hashtags-as-algorithms-become-more-s.html</t>
        </is>
      </c>
    </row>
    <row r="19">
      <c r="A19" s="6" t="inlineStr">
        <is>
          <t>NetInfluencer: TikTok longer videos (Buffer study)</t>
        </is>
      </c>
      <c r="B19" s="37" t="inlineStr">
        <is>
          <t>https://www.netinfluencer.com/tiktok-longer-videos-outperform-short-form-content-study-reveals/</t>
        </is>
      </c>
    </row>
    <row r="20">
      <c r="A20" s="6" t="inlineStr">
        <is>
          <t>VentureBeat: X open-sources its algorithm (Jan 2026)</t>
        </is>
      </c>
      <c r="B20" s="37" t="inlineStr">
        <is>
          <t>https://venturebeat.com/data/x-open-sources-its-algorithm-5-ways-businesses-can-benefit</t>
        </is>
      </c>
    </row>
    <row r="21">
      <c r="A21" s="6" t="inlineStr">
        <is>
          <t>LinkedIn Newsroom: Improving the feed (2026)</t>
        </is>
      </c>
      <c r="B21" s="37" t="inlineStr">
        <is>
          <t>https://news.linkedin.com/2026/ImprovingTheFeed</t>
        </is>
      </c>
    </row>
    <row r="22">
      <c r="A22" s="6" t="inlineStr">
        <is>
          <t>Communicate: TikTok Next 2026 METAP</t>
        </is>
      </c>
      <c r="B22" s="37" t="inlineStr">
        <is>
          <t>https://communicateonline.me/news/tiktoks-2026-forecast-flags-authenticity-emotional-value-as-key-to-middle-east-brand-growth/</t>
        </is>
      </c>
    </row>
    <row r="23">
      <c r="A23" s="6" t="inlineStr">
        <is>
          <t>Saudipedia: Mawthooq licence</t>
        </is>
      </c>
      <c r="B23" s="37" t="inlineStr">
        <is>
          <t>https://saudipedia.com/en/what-is-the-mawthooq-license</t>
        </is>
      </c>
    </row>
    <row r="24">
      <c r="A24" s="6" t="inlineStr">
        <is>
          <t>OMAAT: Saudi social media content rules (Sep 2025)</t>
        </is>
      </c>
      <c r="B24" s="37" t="inlineStr">
        <is>
          <t>https://onemileatatime.com/news/saudi-arabia-social-media-rules-ban-flaunting-luxury-showing-skin/</t>
        </is>
      </c>
    </row>
    <row r="25">
      <c r="A25" s="6" t="inlineStr">
        <is>
          <t>Timetopost: TikTok Saudi Arabia (modelled)</t>
        </is>
      </c>
      <c r="B25" s="37" t="inlineStr">
        <is>
          <t>https://timetopost.co/best-time-to-post/tiktok/saudi-arabia/</t>
        </is>
      </c>
    </row>
    <row r="26">
      <c r="A26" s="6" t="inlineStr">
        <is>
          <t>WARC: Almosafer 'Stories of Mecca'</t>
        </is>
      </c>
      <c r="B26" s="37" t="inlineStr">
        <is>
          <t>https://www.warc.com/en/article/almosafer%3A-stories-of-mecca-ae845e3a06434a00af75ca9276b88141</t>
        </is>
      </c>
    </row>
    <row r="27">
      <c r="A27" s="6" t="inlineStr">
        <is>
          <t>Communicate: Saudia Cannes Lions 2026</t>
        </is>
      </c>
      <c r="B27" s="37" t="inlineStr">
        <is>
          <t>https://communicateonline.me/news/saudia-wins-three-cannes-lions-awards-for-travel-pilgrim-initiatives/</t>
        </is>
      </c>
    </row>
    <row r="28">
      <c r="A28" s="6" t="inlineStr">
        <is>
          <t>flynas: People's Lens</t>
        </is>
      </c>
      <c r="B28" s="37" t="inlineStr">
        <is>
          <t>https://www.flynas.com/en/media-center/news-updates/people-lens/</t>
        </is>
      </c>
    </row>
    <row r="29">
      <c r="A29" s="6" t="inlineStr">
        <is>
          <t>Campaign ME: Riyadh Air brand building</t>
        </is>
      </c>
      <c r="B29" s="37" t="inlineStr">
        <is>
          <t>https://campaignme.com/we-are-building-the-brand-from-a-blank-sheet-of-paper/</t>
        </is>
      </c>
    </row>
    <row r="30">
      <c r="A30" s="6" t="inlineStr">
        <is>
          <t>TikTok for Business: Visit Saudi Branded Search Hub</t>
        </is>
      </c>
      <c r="B30" s="37" t="inlineStr">
        <is>
          <t>https://ads.tiktok.com/business/en/inspiration/visit-saudi-branded-search-hub-case-study</t>
        </is>
      </c>
    </row>
    <row r="31">
      <c r="A31" s="6" t="inlineStr">
        <is>
          <t>Shorty Awards: MDLBEAST Soundstorm 2024</t>
        </is>
      </c>
      <c r="B31" s="37" t="inlineStr">
        <is>
          <t>https://shortyawards.com/17th/mdlbeast-soundstorm-2024</t>
        </is>
      </c>
    </row>
    <row r="32">
      <c r="A32" s="6" t="inlineStr">
        <is>
          <t>HypeAuditor: @almosafertravel_sa</t>
        </is>
      </c>
      <c r="B32" s="37" t="inlineStr">
        <is>
          <t>https://hypeauditor.com/instagram/almosafertravel_sa/</t>
        </is>
      </c>
    </row>
    <row r="33">
      <c r="A33" s="6" t="inlineStr">
        <is>
          <t>The National: RUH reopens, airlines still cancelling (18 Oct 2026)</t>
        </is>
      </c>
      <c r="B33" s="37" t="inlineStr">
        <is>
          <t>https://www.thenationalnews.com/travel/2026/10/18/riyadh-airport-reopens-which-airlines-are-still-cancelling-flights-to-saudi-arabia/</t>
        </is>
      </c>
    </row>
    <row r="34">
      <c r="A34" s="6" t="inlineStr">
        <is>
          <t>SPA: Riyadh Season 2026</t>
        </is>
      </c>
      <c r="B34" s="37" t="inlineStr">
        <is>
          <t>https://www.spa.gov.sa/en/N2686677</t>
        </is>
      </c>
    </row>
    <row r="35">
      <c r="A35" s="6" t="inlineStr">
        <is>
          <t>Arab News: AlUla Skies Festival 2026</t>
        </is>
      </c>
      <c r="B35" s="37" t="inlineStr">
        <is>
          <t>https://www.arabnews.pk/saudi-arabia/alula-skies-festival-returns-in-november-with-balloons-stargazing-and-night-sky-events-3002785</t>
        </is>
      </c>
    </row>
    <row r="36">
      <c r="A36" s="6" t="inlineStr">
        <is>
          <t>WWE: Crown Jewel 2026</t>
        </is>
      </c>
      <c r="B36" s="37" t="inlineStr">
        <is>
          <t>https://corporate.wwe.com/about/news/2026/09-01-2026</t>
        </is>
      </c>
    </row>
    <row r="37">
      <c r="A37" s="6" t="inlineStr">
        <is>
          <t>Cityscape Global 2026</t>
        </is>
      </c>
      <c r="B37" s="37" t="inlineStr">
        <is>
          <t>https://cityscapeglobal.com/welcome-to-cityscape-global-2026</t>
        </is>
      </c>
    </row>
    <row r="38">
      <c r="A38" s="6" t="inlineStr">
        <is>
          <t>mdares (MoE calendar 1448)</t>
        </is>
      </c>
      <c r="B38" s="37" t="inlineStr">
        <is>
          <t>https://mdares.ai/sa-en/calendar/print</t>
        </is>
      </c>
    </row>
    <row r="39">
      <c r="A39" s="6" t="inlineStr">
        <is>
          <t>Salla: White Friday 2026</t>
        </is>
      </c>
      <c r="B39" s="37" t="inlineStr">
        <is>
          <t>https://salla.com/en/tools/seasons-calendar/seasons/white-friday-2026</t>
        </is>
      </c>
    </row>
    <row r="40">
      <c r="A40" s="6" t="inlineStr">
        <is>
          <t>islamic.app: Rajab 1448</t>
        </is>
      </c>
      <c r="B40" s="37" t="inlineStr">
        <is>
          <t>https://islamic.app/hijri/rajab-sacred-month/2026</t>
        </is>
      </c>
    </row>
    <row r="41">
      <c r="A41" s="6" t="inlineStr">
        <is>
          <t>The National: Ramadan 2027 dates</t>
        </is>
      </c>
      <c r="B41" s="37" t="inlineStr">
        <is>
          <t>https://www.thenationalnews.com/news/uae/2026/09/09/ramadan-2027-dates-eid-al-fitr-holiday/</t>
        </is>
      </c>
    </row>
    <row r="42">
      <c r="A42" s="6" t="inlineStr">
        <is>
          <t>FIA Formula E: Jeddah opener</t>
        </is>
      </c>
      <c r="B42" s="37" t="inlineStr">
        <is>
          <t>https://www.fiaformulae.com/en/news/1074658</t>
        </is>
      </c>
    </row>
    <row r="43">
      <c r="A43" s="6" t="inlineStr">
        <is>
          <t>List Magazine: Riyadh Season events (Six Kings Slam moved)</t>
        </is>
      </c>
      <c r="B43" s="37" t="inlineStr">
        <is>
          <t>https://www.listmag.com/en/see-do/events-entertainment/unmissable-events-already-confirmed-for-riyadh-season-3741</t>
        </is>
      </c>
    </row>
    <row r="44">
      <c r="A44" s="6" t="inlineStr">
        <is>
          <t>Travel Pirates: European Christmas market dates 2026</t>
        </is>
      </c>
      <c r="B44" s="37" t="inlineStr">
        <is>
          <t>https://www.travelpirates.com/captains-log/european-christmas-market-dates-2026</t>
        </is>
      </c>
    </row>
    <row r="45">
      <c r="A45" s="6" t="inlineStr">
        <is>
          <t>Arab News: Schengen 5-year visa for Saudis</t>
        </is>
      </c>
      <c r="B45" s="37" t="inlineStr">
        <is>
          <t>https://arab.news/5aeyp</t>
        </is>
      </c>
    </row>
    <row r="46">
      <c r="A46" s="6" t="inlineStr">
        <is>
          <t>Almatar: China visa-free for Saudis to 31 Dec 2026</t>
        </is>
      </c>
      <c r="B46" s="37" t="inlineStr">
        <is>
          <t>https://almatar.com/blog/?p=24141</t>
        </is>
      </c>
    </row>
    <row r="47">
      <c r="A47" s="6" t="inlineStr">
        <is>
          <t>List Magazine: Saudi-Russia visa-free</t>
        </is>
      </c>
      <c r="B47" s="37" t="inlineStr">
        <is>
          <t>https://www.listmag.com/en/travel-stay/saudi-arabia-and-russia-launch-mutual-visa-free-travel-agreement-4296</t>
        </is>
      </c>
    </row>
    <row r="48">
      <c r="A48" s="6" t="inlineStr">
        <is>
          <t>Deadline: Red Sea Film Festival 2026 cancelled</t>
        </is>
      </c>
      <c r="B48" s="37" t="inlineStr">
        <is>
          <t>https://deadline.com/2026/09/saudi-arabia-red-sea-film-festival-cancels-2026-edition-1237109142/</t>
        </is>
      </c>
    </row>
    <row r="49">
      <c r="A49" s="6" t="inlineStr">
        <is>
          <t>DJ Mag: Soundstorm 2026 cancelled</t>
        </is>
      </c>
      <c r="B49" s="37" t="inlineStr">
        <is>
          <t>https://djmag.com/news/soundstorm-festival-cancels-2026-edition</t>
        </is>
      </c>
    </row>
    <row r="50">
      <c r="A50" s="6" t="inlineStr">
        <is>
          <t>Zawya/Wego: how disruptions reshaped Middle East travel (Sep 2026)</t>
        </is>
      </c>
      <c r="B50" s="37" t="inlineStr">
        <is>
          <t>https://www.zawya.com/en/business/how-travel-disruptions-reshaped-middle-easts-travel-map-in-2026-586333</t>
        </is>
      </c>
    </row>
    <row r="51">
      <c r="A51" s="6" t="inlineStr">
        <is>
          <t>Almosafer 2026 travel trends (Zawya)</t>
        </is>
      </c>
      <c r="B51" s="37" t="inlineStr">
        <is>
          <t>https://www.zawya.com/en/press-release/research-studies/2026-travel-trends-saudi-travellers-prove-resilient-as-flexibility-convenience-and-ai-reshape-how-they-book-481587</t>
        </is>
      </c>
    </row>
    <row r="52">
      <c r="A52" s="6" t="inlineStr">
        <is>
          <t>GDN: Wego, Egypt keeps top spot (Sep 2026)</t>
        </is>
      </c>
      <c r="B52" s="37" t="inlineStr">
        <is>
          <t>https://www.gdnonline.com/Details/1406353/Egypt-retains-top-spot-as-Wego-tracks-major-shifts-in-Mideast-travel</t>
        </is>
      </c>
    </row>
    <row r="53">
      <c r="A53" s="6" t="inlineStr">
        <is>
          <t>GDN: Saudi outbound market could exceed $60bn</t>
        </is>
      </c>
      <c r="B53" s="37" t="inlineStr">
        <is>
          <t>https://www.gdnonline.com/Details/1406013/Saudi-outbound-travel-market-could-exceed-$60bn-by-2030</t>
        </is>
      </c>
    </row>
    <row r="54">
      <c r="A54" s="6" t="inlineStr">
        <is>
          <t>Wego: Saudia Riyadh-Tokyo nonstop</t>
        </is>
      </c>
      <c r="B54" s="37" t="inlineStr">
        <is>
          <t>https://blog.wego.com/saudia-to-launch-direct-riyadh-tokyo-flights/</t>
        </is>
      </c>
    </row>
    <row r="55">
      <c r="A55" s="6" t="inlineStr">
        <is>
          <t>Azerbaijan MFA: visa-free countries</t>
        </is>
      </c>
      <c r="B55" s="37" t="inlineStr">
        <is>
          <t>https://mfa.gov.az/en/category/visa/visa-free-countries</t>
        </is>
      </c>
    </row>
    <row r="56">
      <c r="A56" s="6" t="inlineStr">
        <is>
          <t>ConnectingTravel: China visa-free for GCC to end-2026</t>
        </is>
      </c>
      <c r="B56" s="37" t="inlineStr">
        <is>
          <t>https://connectingtravel.com/news/china-extends-visa-free-access-for-gcc-travellers-until-end-of-2026</t>
        </is>
      </c>
    </row>
    <row r="57">
      <c r="A57" s="6" t="inlineStr">
        <is>
          <t>UEFA: 2026-27 Champions League league-phase fixtures</t>
        </is>
      </c>
      <c r="B57" s="37" t="inlineStr">
        <is>
          <t>https://www.uefa.com/uefachampionsleague/news/02a8-2174c9e9019d-f909a77bd77a-1000--2026-27-champions-league-all-the-league-phase-fixtures/</t>
        </is>
      </c>
    </row>
    <row r="58">
      <c r="A58" s="6" t="inlineStr">
        <is>
          <t>RFEF: 2027 Spanish Super Cup in Istanbul</t>
        </is>
      </c>
      <c r="B58" s="37" t="inlineStr">
        <is>
          <t>https://rfef.es/en/noticias/The-2027-Spanish-Super-Cup-to-Be-Held-in-Istanbul</t>
        </is>
      </c>
    </row>
    <row r="59">
      <c r="A59" s="6" t="inlineStr">
        <is>
          <t>FIA: 2026 F1 calendar</t>
        </is>
      </c>
      <c r="B59" s="37" t="inlineStr">
        <is>
          <t>https://api.fia.com/news/fia-and-formula-1-announce-2026-calendar</t>
        </is>
      </c>
    </row>
    <row r="60">
      <c r="A60" s="6" t="inlineStr">
        <is>
          <t>The National: Shakira at the Pyramids</t>
        </is>
      </c>
      <c r="B60" s="37" t="inlineStr">
        <is>
          <t>https://www.thenationalnews.com/arts-culture/music-stage/2026/08/28/shakira-at-the-pyramids-what-fans-can-expect-from-her-egypt-concert/</t>
        </is>
      </c>
    </row>
    <row r="61">
      <c r="A61" s="6" t="inlineStr">
        <is>
          <t>Zawya: Dubai Shopping Festival 2026-27</t>
        </is>
      </c>
      <c r="B61" s="37" t="inlineStr">
        <is>
          <t>https://www.zawya.com/en/press-release/government-news/citywide-dubai-shopping-festival-returns-with-most-action-packed-season-yet-1650724</t>
        </is>
      </c>
    </row>
    <row r="62">
      <c r="A62" s="6" t="inlineStr">
        <is>
          <t>Khaleej Times: Global Village season 31</t>
        </is>
      </c>
      <c r="B62" s="37" t="inlineStr">
        <is>
          <t>https://www.khaleejtimes.com/uae/dubai-global-village-open-october-14-season-31</t>
        </is>
      </c>
    </row>
    <row r="63">
      <c r="A63" s="6" t="inlineStr">
        <is>
          <t>Nippon.com: Japan autumn foliage forecast</t>
        </is>
      </c>
      <c r="B63" s="37" t="inlineStr">
        <is>
          <t>https://www.nippon.com/en/japan-data/h02888/</t>
        </is>
      </c>
    </row>
    <row r="64">
      <c r="A64" s="6" t="inlineStr">
        <is>
          <t>WAM: AFC Asian Cup 2027 dates and venues</t>
        </is>
      </c>
      <c r="B64" s="37" t="inlineStr">
        <is>
          <t>https://www.wam.ae/en/article/bhkj9ai-afc-asian-cup-saudi-arabia-2027-dates-venues</t>
        </is>
      </c>
    </row>
    <row r="65">
      <c r="A65" s="6" t="inlineStr">
        <is>
          <t>Les 3 Vallées: lift opening dates</t>
        </is>
      </c>
      <c r="B65" s="37" t="inlineStr">
        <is>
          <t>https://www.les3vallees.com/en/live/lifts-and-trails-opening</t>
        </is>
      </c>
    </row>
    <row r="66">
      <c r="A66" s="6" t="inlineStr">
        <is>
          <t>Gulf News: F1 2027 calendar</t>
        </is>
      </c>
      <c r="B66" s="37" t="inlineStr">
        <is>
          <t>https://gulfnews.com/sport/abu-dhabi-qatar-saudi-arabia-2027-formula-one-calendar-announced-1.500676639</t>
        </is>
      </c>
    </row>
  </sheetData>
  <hyperlinks>
    <hyperlink xmlns:r="http://schemas.openxmlformats.org/officeDocument/2006/relationships" ref="B5" r:id="rId1"/>
    <hyperlink xmlns:r="http://schemas.openxmlformats.org/officeDocument/2006/relationships" ref="B6" r:id="rId2"/>
    <hyperlink xmlns:r="http://schemas.openxmlformats.org/officeDocument/2006/relationships" ref="B7" r:id="rId3"/>
    <hyperlink xmlns:r="http://schemas.openxmlformats.org/officeDocument/2006/relationships" ref="B8" r:id="rId4"/>
    <hyperlink xmlns:r="http://schemas.openxmlformats.org/officeDocument/2006/relationships" ref="B9" r:id="rId5"/>
    <hyperlink xmlns:r="http://schemas.openxmlformats.org/officeDocument/2006/relationships" ref="B10" r:id="rId6"/>
    <hyperlink xmlns:r="http://schemas.openxmlformats.org/officeDocument/2006/relationships" ref="B11" r:id="rId7"/>
    <hyperlink xmlns:r="http://schemas.openxmlformats.org/officeDocument/2006/relationships" ref="B12" r:id="rId8"/>
    <hyperlink xmlns:r="http://schemas.openxmlformats.org/officeDocument/2006/relationships" ref="B13" r:id="rId9"/>
    <hyperlink xmlns:r="http://schemas.openxmlformats.org/officeDocument/2006/relationships" ref="B14" r:id="rId10"/>
    <hyperlink xmlns:r="http://schemas.openxmlformats.org/officeDocument/2006/relationships" ref="B15" r:id="rId11"/>
    <hyperlink xmlns:r="http://schemas.openxmlformats.org/officeDocument/2006/relationships" ref="B16" r:id="rId12"/>
    <hyperlink xmlns:r="http://schemas.openxmlformats.org/officeDocument/2006/relationships" ref="B17" r:id="rId13"/>
    <hyperlink xmlns:r="http://schemas.openxmlformats.org/officeDocument/2006/relationships" ref="B18" r:id="rId14"/>
    <hyperlink xmlns:r="http://schemas.openxmlformats.org/officeDocument/2006/relationships" ref="B19" r:id="rId15"/>
    <hyperlink xmlns:r="http://schemas.openxmlformats.org/officeDocument/2006/relationships" ref="B20" r:id="rId16"/>
    <hyperlink xmlns:r="http://schemas.openxmlformats.org/officeDocument/2006/relationships" ref="B21" r:id="rId17"/>
    <hyperlink xmlns:r="http://schemas.openxmlformats.org/officeDocument/2006/relationships" ref="B22" r:id="rId18"/>
    <hyperlink xmlns:r="http://schemas.openxmlformats.org/officeDocument/2006/relationships" ref="B23" r:id="rId19"/>
    <hyperlink xmlns:r="http://schemas.openxmlformats.org/officeDocument/2006/relationships" ref="B24" r:id="rId20"/>
    <hyperlink xmlns:r="http://schemas.openxmlformats.org/officeDocument/2006/relationships" ref="B25" r:id="rId21"/>
    <hyperlink xmlns:r="http://schemas.openxmlformats.org/officeDocument/2006/relationships" ref="B26" r:id="rId22"/>
    <hyperlink xmlns:r="http://schemas.openxmlformats.org/officeDocument/2006/relationships" ref="B27" r:id="rId23"/>
    <hyperlink xmlns:r="http://schemas.openxmlformats.org/officeDocument/2006/relationships" ref="B28" r:id="rId24"/>
    <hyperlink xmlns:r="http://schemas.openxmlformats.org/officeDocument/2006/relationships" ref="B29" r:id="rId25"/>
    <hyperlink xmlns:r="http://schemas.openxmlformats.org/officeDocument/2006/relationships" ref="B30" r:id="rId26"/>
    <hyperlink xmlns:r="http://schemas.openxmlformats.org/officeDocument/2006/relationships" ref="B31" r:id="rId27"/>
    <hyperlink xmlns:r="http://schemas.openxmlformats.org/officeDocument/2006/relationships" ref="B32" r:id="rId28"/>
    <hyperlink xmlns:r="http://schemas.openxmlformats.org/officeDocument/2006/relationships" ref="B33" r:id="rId29"/>
    <hyperlink xmlns:r="http://schemas.openxmlformats.org/officeDocument/2006/relationships" ref="B34" r:id="rId30"/>
    <hyperlink xmlns:r="http://schemas.openxmlformats.org/officeDocument/2006/relationships" ref="B35" r:id="rId31"/>
    <hyperlink xmlns:r="http://schemas.openxmlformats.org/officeDocument/2006/relationships" ref="B36" r:id="rId32"/>
    <hyperlink xmlns:r="http://schemas.openxmlformats.org/officeDocument/2006/relationships" ref="B37" r:id="rId33"/>
    <hyperlink xmlns:r="http://schemas.openxmlformats.org/officeDocument/2006/relationships" ref="B38" r:id="rId34"/>
    <hyperlink xmlns:r="http://schemas.openxmlformats.org/officeDocument/2006/relationships" ref="B39" r:id="rId35"/>
    <hyperlink xmlns:r="http://schemas.openxmlformats.org/officeDocument/2006/relationships" ref="B40" r:id="rId36"/>
    <hyperlink xmlns:r="http://schemas.openxmlformats.org/officeDocument/2006/relationships" ref="B41" r:id="rId37"/>
    <hyperlink xmlns:r="http://schemas.openxmlformats.org/officeDocument/2006/relationships" ref="B42" r:id="rId38"/>
    <hyperlink xmlns:r="http://schemas.openxmlformats.org/officeDocument/2006/relationships" ref="B43" r:id="rId39"/>
    <hyperlink xmlns:r="http://schemas.openxmlformats.org/officeDocument/2006/relationships" ref="B44" r:id="rId40"/>
    <hyperlink xmlns:r="http://schemas.openxmlformats.org/officeDocument/2006/relationships" ref="B45" r:id="rId41"/>
    <hyperlink xmlns:r="http://schemas.openxmlformats.org/officeDocument/2006/relationships" ref="B46" r:id="rId42"/>
    <hyperlink xmlns:r="http://schemas.openxmlformats.org/officeDocument/2006/relationships" ref="B47" r:id="rId43"/>
    <hyperlink xmlns:r="http://schemas.openxmlformats.org/officeDocument/2006/relationships" ref="B48" r:id="rId44"/>
    <hyperlink xmlns:r="http://schemas.openxmlformats.org/officeDocument/2006/relationships" ref="B49" r:id="rId45"/>
    <hyperlink xmlns:r="http://schemas.openxmlformats.org/officeDocument/2006/relationships" ref="B50" r:id="rId46"/>
    <hyperlink xmlns:r="http://schemas.openxmlformats.org/officeDocument/2006/relationships" ref="B51" r:id="rId47"/>
    <hyperlink xmlns:r="http://schemas.openxmlformats.org/officeDocument/2006/relationships" ref="B52" r:id="rId48"/>
    <hyperlink xmlns:r="http://schemas.openxmlformats.org/officeDocument/2006/relationships" ref="B53" r:id="rId49"/>
    <hyperlink xmlns:r="http://schemas.openxmlformats.org/officeDocument/2006/relationships" ref="B54" r:id="rId50"/>
    <hyperlink xmlns:r="http://schemas.openxmlformats.org/officeDocument/2006/relationships" ref="B55" r:id="rId51"/>
    <hyperlink xmlns:r="http://schemas.openxmlformats.org/officeDocument/2006/relationships" ref="B56" r:id="rId52"/>
    <hyperlink xmlns:r="http://schemas.openxmlformats.org/officeDocument/2006/relationships" ref="B57" r:id="rId53"/>
    <hyperlink xmlns:r="http://schemas.openxmlformats.org/officeDocument/2006/relationships" ref="B58" r:id="rId54"/>
    <hyperlink xmlns:r="http://schemas.openxmlformats.org/officeDocument/2006/relationships" ref="B59" r:id="rId55"/>
    <hyperlink xmlns:r="http://schemas.openxmlformats.org/officeDocument/2006/relationships" ref="B60" r:id="rId56"/>
    <hyperlink xmlns:r="http://schemas.openxmlformats.org/officeDocument/2006/relationships" ref="B61" r:id="rId57"/>
    <hyperlink xmlns:r="http://schemas.openxmlformats.org/officeDocument/2006/relationships" ref="B62" r:id="rId58"/>
    <hyperlink xmlns:r="http://schemas.openxmlformats.org/officeDocument/2006/relationships" ref="B63" r:id="rId59"/>
    <hyperlink xmlns:r="http://schemas.openxmlformats.org/officeDocument/2006/relationships" ref="B64" r:id="rId60"/>
    <hyperlink xmlns:r="http://schemas.openxmlformats.org/officeDocument/2006/relationships" ref="B65" r:id="rId61"/>
    <hyperlink xmlns:r="http://schemas.openxmlformats.org/officeDocument/2006/relationships" ref="B66" r:id="rId6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2026-10-18T23:47:48Z</dcterms:created>
  <dcterms:modified xmlns:dcterms="http://purl.org/dc/terms/" xmlns:xsi="http://www.w3.org/2001/XMLSchema-instance" xsi:type="dcterms:W3CDTF">2026-10-18T23:47:48Z</dcterms:modified>
</cp:coreProperties>
</file>